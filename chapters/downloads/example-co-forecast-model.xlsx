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Statements" sheetId="3" state="visible" r:id="rId5"/>
    <sheet name="Valuation" sheetId="4" state="visible" r:id="rId6"/>
    <sheet name="Sensitivity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5" authorId="0">
      <text>
        <r>
          <rPr>
            <sz val="10"/>
            <rFont val="Arial"/>
            <family val="2"/>
          </rPr>
          <t xml:space="preserve">Year-0 dividends of 25 from the financial statements chapter.</t>
        </r>
      </text>
    </comment>
  </commentList>
</comments>
</file>

<file path=xl/sharedStrings.xml><?xml version="1.0" encoding="utf-8"?>
<sst xmlns="http://schemas.openxmlformats.org/spreadsheetml/2006/main" count="200" uniqueCount="175">
  <si>
    <t xml:space="preserve">Example Co. Forecast and Valuation Model</t>
  </si>
  <si>
    <t xml:space="preserve">Companion workbook to the chapter Forecasting and Three-Statement Modeling. Example Co. is a teaching company; every figure is invented.</t>
  </si>
  <si>
    <t xml:space="preserve">Purpose</t>
  </si>
  <si>
    <t xml:space="preserve">Rebuilds the Example Co. model in the chapter: five-year income statement, balance sheet and cash flow statement, free cash flow, terminal value, equity value, sensitivity and consistency checks.</t>
  </si>
  <si>
    <t xml:space="preserve">How to use</t>
  </si>
  <si>
    <t xml:space="preserve">Change only blue cells on the Assumptions sheet. Every other sheet is formulas. With the starting inputs, equity value is 1,075.4 (chapter Section 4.3).</t>
  </si>
  <si>
    <t xml:space="preserve">Colour code</t>
  </si>
  <si>
    <t xml:space="preserve">Blue text = input you may change. Black = formula. Green = pure link from another sheet. Yellow fill = the two switches on Assumptions.</t>
  </si>
  <si>
    <t xml:space="preserve">Sheets</t>
  </si>
  <si>
    <t xml:space="preserve">Assumptions: all drivers and switches (chapter 2.6, 3.1, 4.3).
Statements: income statement, balance sheet, cash flow statement (Section 3.3).
Valuation: free cash flow, terminal value, equity bridge, terminal return table (Sections 4.1 to 4.3).
Sensitivity: equity value against cost of capital and stable growth (Section 4.4).
Checks: consistency tests (Section 5.1).</t>
  </si>
  <si>
    <t xml:space="preserve">Switches</t>
  </si>
  <si>
    <t xml:space="preserve">Assumptions B24: 1 = base growth and payout, 2 = stress case (20/15/12/10/8% growth, 50% payout).
Assumptions B25: 1 = cash is the plug and debt stays constant; 2 = debt is the plug and cash is held at the minimum.
To reproduce the stress table in Section 3.4, set B24 = 2, then compare B25 = 1 (negative cash) with B25 = 2 (debt rises to 687).</t>
  </si>
  <si>
    <t xml:space="preserve">Method notes</t>
  </si>
  <si>
    <t xml:space="preserve">Interest is charged on opening balances, so the model has no circular references. Cash on the balance sheet is the plug (total liabilities and equity less other assets); the cash flow statement is built independently and the Checks sheet confirms the two agree.</t>
  </si>
  <si>
    <t xml:space="preserve">Assumptions</t>
  </si>
  <si>
    <t xml:space="preserve">Cost of capital 9%, stable growth 3%, return on new capital in stable growth 10% and risk-free rate 4% are illustrative inputs chosen for teaching, not market data.</t>
  </si>
  <si>
    <t xml:space="preserve">Rounding</t>
  </si>
  <si>
    <t xml:space="preserve">Statements display whole numbers and the valuation shows one decimal; calculations use full precision.</t>
  </si>
  <si>
    <t xml:space="preserve">Sources</t>
  </si>
  <si>
    <t xml:space="preserve">See the footnotes and reference list in the chapter. Method follows the sales-driven pro forma approach and the stable-growth terminal value rules cited there.</t>
  </si>
  <si>
    <t xml:space="preserve">Blue = input. All values for Example Co. are invented; year-0 figures come from the financial statements chapter.</t>
  </si>
  <si>
    <t xml:space="preserve">Operating drivers</t>
  </si>
  <si>
    <t xml:space="preserve">Year-0 revenue ($)</t>
  </si>
  <si>
    <t xml:space="preserve">Chapter 2 income statement</t>
  </si>
  <si>
    <t xml:space="preserve">Operating costs before depreciation (% of revenue)</t>
  </si>
  <si>
    <t xml:space="preserve">800 / 1,000; EBITDA margin = 1 - this</t>
  </si>
  <si>
    <t xml:space="preserve">Depreciation (% of revenue)</t>
  </si>
  <si>
    <t xml:space="preserve">50 / 1,000</t>
  </si>
  <si>
    <t xml:space="preserve">Receivables (% of revenue)</t>
  </si>
  <si>
    <t xml:space="preserve">150 / 1,000</t>
  </si>
  <si>
    <t xml:space="preserve">Inventory (% of revenue)</t>
  </si>
  <si>
    <t xml:space="preserve">100 / 1,000</t>
  </si>
  <si>
    <t xml:space="preserve">Payables and accruals (% of revenue)</t>
  </si>
  <si>
    <t xml:space="preserve">Net fixed assets (% of revenue)</t>
  </si>
  <si>
    <t xml:space="preserve">650 / 1,000</t>
  </si>
  <si>
    <t xml:space="preserve">Intangibles ($, held constant)</t>
  </si>
  <si>
    <t xml:space="preserve">No acquisitions or amortization</t>
  </si>
  <si>
    <t xml:space="preserve">Financing and tax</t>
  </si>
  <si>
    <t xml:space="preserve">Interest rate on opening debt</t>
  </si>
  <si>
    <t xml:space="preserve">30 / 400</t>
  </si>
  <si>
    <t xml:space="preserve">Interest rate on opening cash</t>
  </si>
  <si>
    <t xml:space="preserve">None in the chapter</t>
  </si>
  <si>
    <t xml:space="preserve">Tax rate</t>
  </si>
  <si>
    <t xml:space="preserve">Dividend payout, base case (% of net income)</t>
  </si>
  <si>
    <t xml:space="preserve">25 / 84</t>
  </si>
  <si>
    <t xml:space="preserve">Dividend payout, stress case</t>
  </si>
  <si>
    <t xml:space="preserve">Minimum cash, debt-plug case ($)</t>
  </si>
  <si>
    <t xml:space="preserve">Year-0 cash ($)</t>
  </si>
  <si>
    <t xml:space="preserve">Year-0 debt ($)</t>
  </si>
  <si>
    <t xml:space="preserve">Year-0 shareholders' equity ($)</t>
  </si>
  <si>
    <t xml:space="preserve">Growth and payout case (1 = base, 2 = stress)</t>
  </si>
  <si>
    <t xml:space="preserve">Yellow = switch</t>
  </si>
  <si>
    <t xml:space="preserve">Plug (1 = cash, 2 = debt)</t>
  </si>
  <si>
    <t xml:space="preserve">1: debt constant, cash absorbs the gap. 2: borrow to hold minimum cash</t>
  </si>
  <si>
    <t xml:space="preserve">Active dividend payout</t>
  </si>
  <si>
    <t xml:space="preserve">Revenue growth path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</si>
  <si>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</si>
  <si>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</si>
  <si>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</si>
  <si>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</si>
  <si>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</si>
  <si>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Growth, base case</t>
  </si>
  <si>
    <t xml:space="preserve">Growth, stress case</t>
  </si>
  <si>
    <t xml:space="preserve">Active growth</t>
  </si>
  <si>
    <t xml:space="preserve">Valuation</t>
  </si>
  <si>
    <t xml:space="preserve">Cost of capital (WACC)</t>
  </si>
  <si>
    <t xml:space="preserve">Illustrative</t>
  </si>
  <si>
    <t xml:space="preserve">Stable growth rate (g)</t>
  </si>
  <si>
    <t xml:space="preserve">Cap at the risk-free rate</t>
  </si>
  <si>
    <t xml:space="preserve">Return on new capital in stable growth (ROC)</t>
  </si>
  <si>
    <t xml:space="preserve">Growth creates value only above the cost of capital</t>
  </si>
  <si>
    <t xml:space="preserve">Risk-free rate (growth cap check)</t>
  </si>
  <si>
    <t xml:space="preserve">Mid-year discounting (0 = off, 1 = on)</t>
  </si>
  <si>
    <t xml:space="preserve">1 multiplies enterprise value by (1+WACC)^0.5</t>
  </si>
  <si>
    <t xml:space="preserve">Implied return on new capital from the forecast drivers</t>
  </si>
  <si>
    <t xml:space="preserve">After-tax operating margin x marginal sales-to-capital (1 / capital per $ of revenue)</t>
  </si>
  <si>
    <t xml:space="preserve">Three-statement forecast ($)</t>
  </si>
  <si>
    <t xml:space="preserve">All cells are formulas except year-0 dividends (blue, from the financial statements chapter).</t>
  </si>
  <si>
    <t xml:space="preserve">Year 0</t>
  </si>
  <si>
    <t xml:space="preserve">Income statement</t>
  </si>
  <si>
    <t xml:space="preserve">Revenues</t>
  </si>
  <si>
    <t xml:space="preserve">Operating costs before depreciation</t>
  </si>
  <si>
    <t xml:space="preserve">EBITDA</t>
  </si>
  <si>
    <t xml:space="preserve">Depreciation</t>
  </si>
  <si>
    <t xml:space="preserve">Operating income (EBIT)</t>
  </si>
  <si>
    <t xml:space="preserve">Interest expense</t>
  </si>
  <si>
    <t xml:space="preserve">Interest income on cash</t>
  </si>
  <si>
    <t xml:space="preserve">Pre-tax income</t>
  </si>
  <si>
    <t xml:space="preserve">Taxes</t>
  </si>
  <si>
    <t xml:space="preserve">Net income</t>
  </si>
  <si>
    <t xml:space="preserve">Dividends</t>
  </si>
  <si>
    <t xml:space="preserve">Balance sheet</t>
  </si>
  <si>
    <t xml:space="preserve">Cash (plug)</t>
  </si>
  <si>
    <t xml:space="preserve">Receivables</t>
  </si>
  <si>
    <t xml:space="preserve">Inventory</t>
  </si>
  <si>
    <t xml:space="preserve">Net fixed assets</t>
  </si>
  <si>
    <t xml:space="preserve">Intangibles</t>
  </si>
  <si>
    <t xml:space="preserve">Total assets</t>
  </si>
  <si>
    <t xml:space="preserve">Payables and accruals</t>
  </si>
  <si>
    <t xml:space="preserve">Debt</t>
  </si>
  <si>
    <t xml:space="preserve">Shareholders' equity</t>
  </si>
  <si>
    <t xml:space="preserve">Total liabilities and equity</t>
  </si>
  <si>
    <t xml:space="preserve">Cash flow statement</t>
  </si>
  <si>
    <t xml:space="preserve">+ Depreciation</t>
  </si>
  <si>
    <t xml:space="preserve">- Increase in working capital</t>
  </si>
  <si>
    <t xml:space="preserve">Cash flow from operations</t>
  </si>
  <si>
    <t xml:space="preserve">Capital expenditures</t>
  </si>
  <si>
    <t xml:space="preserve">Cash flow from investing</t>
  </si>
  <si>
    <t xml:space="preserve">Net borrowing</t>
  </si>
  <si>
    <t xml:space="preserve">Cash flow from financing</t>
  </si>
  <si>
    <t xml:space="preserve">Net change in cash</t>
  </si>
  <si>
    <t xml:space="preserve">Change in balance-sheet cash</t>
  </si>
  <si>
    <t xml:space="preserve">Free cash flow and valuation ($)</t>
  </si>
  <si>
    <t xml:space="preserve">Uses the Statements sheet and the valuation inputs on Assumptions (cost of capital, stable growth, return on new capital).</t>
  </si>
  <si>
    <t xml:space="preserve">Year number</t>
  </si>
  <si>
    <t xml:space="preserve">EBIT x (1 - tax rate)</t>
  </si>
  <si>
    <t xml:space="preserve">- Capital expenditures</t>
  </si>
  <si>
    <t xml:space="preserve">Free cash flow to the firm (FCFF)</t>
  </si>
  <si>
    <t xml:space="preserve">Net reinvestment (NOPAT - FCFF)</t>
  </si>
  <si>
    <t xml:space="preserve">Discount factor</t>
  </si>
  <si>
    <t xml:space="preserve">Present value of FCFF</t>
  </si>
  <si>
    <t xml:space="preserve">Terminal value and equity value</t>
  </si>
  <si>
    <t xml:space="preserve">Year-5 after-tax operating income</t>
  </si>
  <si>
    <t xml:space="preserve">Year-6 after-tax operating income</t>
  </si>
  <si>
    <t xml:space="preserve">Stable reinvestment rate (g / ROC)</t>
  </si>
  <si>
    <t xml:space="preserve">Year-6 free cash flow</t>
  </si>
  <si>
    <t xml:space="preserve">Terminal value at end of year 5</t>
  </si>
  <si>
    <t xml:space="preserve">Returns 0 if WACC is not above g (see Checks)</t>
  </si>
  <si>
    <t xml:space="preserve">Present value of terminal value</t>
  </si>
  <si>
    <t xml:space="preserve">Present value of year 1-5 FCFF</t>
  </si>
  <si>
    <t xml:space="preserve">Enterprise value</t>
  </si>
  <si>
    <t xml:space="preserve">+ Cash (year 0)</t>
  </si>
  <si>
    <t xml:space="preserve">- Debt (year 0)</t>
  </si>
  <si>
    <t xml:space="preserve">Equity value</t>
  </si>
  <si>
    <t xml:space="preserve">Terminal value as share of enterprise value</t>
  </si>
  <si>
    <t xml:space="preserve">Enterprise value / year-0 EBITDA</t>
  </si>
  <si>
    <t xml:space="preserve">What the terminal return on capital is worth</t>
  </si>
  <si>
    <t xml:space="preserve">Terminal-period assumption</t>
  </si>
  <si>
    <t xml:space="preserve">ROC</t>
  </si>
  <si>
    <t xml:space="preserve">Reinvestment</t>
  </si>
  <si>
    <t xml:space="preserve">Terminal value</t>
  </si>
  <si>
    <t xml:space="preserve">Return on capital = cost of capital</t>
  </si>
  <si>
    <t xml:space="preserve">Return on capital = input on Assumptions</t>
  </si>
  <si>
    <t xml:space="preserve">Return on new capital implied by the forecast</t>
  </si>
  <si>
    <t xml:space="preserve">No reinvestment (growth for free)</t>
  </si>
  <si>
    <t xml:space="preserve">n/a</t>
  </si>
  <si>
    <t xml:space="preserve">Equity value ($): cost of capital against stable growth</t>
  </si>
  <si>
    <t xml:space="preserve">Uses the return on new capital on Assumptions. Blue headers can be changed. 'n/m' = cost of capital not above growth.</t>
  </si>
  <si>
    <t xml:space="preserve">Cost of capital (down) / growth (across)</t>
  </si>
  <si>
    <t xml:space="preserve">Check: base cell equals Valuation equity value only if WACC = 9% and g = 3% are on the grid.</t>
  </si>
  <si>
    <t xml:space="preserve">Consistency checks</t>
  </si>
  <si>
    <t xml:space="preserve">PASS/FAIL tests from Section 5.1 of the chapter. Tolerance 0.01 unless stated.</t>
  </si>
  <si>
    <t xml:space="preserve">Check</t>
  </si>
  <si>
    <t xml:space="preserve">Result</t>
  </si>
  <si>
    <t xml:space="preserve">What it tests</t>
  </si>
  <si>
    <t xml:space="preserve">Assets - liabilities and equity</t>
  </si>
  <si>
    <t xml:space="preserve">Balance sheet balances every year</t>
  </si>
  <si>
    <t xml:space="preserve">Cash flow statement - balance sheet cash change</t>
  </si>
  <si>
    <t xml:space="preserve">Independent cash reconciliation</t>
  </si>
  <si>
    <t xml:space="preserve">Cash balance</t>
  </si>
  <si>
    <t xml:space="preserve">Cash never negative (fails in stress case with cash plug)</t>
  </si>
  <si>
    <t xml:space="preserve">NOPAT growth</t>
  </si>
  <si>
    <t xml:space="preserve">Growth in after-tax operating income</t>
  </si>
  <si>
    <t xml:space="preserve">Net reinvestment / prior NOPAT x return on new capital</t>
  </si>
  <si>
    <t xml:space="preserve">Growth is paid for by reinvestment (rows 8 and 9 agree)</t>
  </si>
  <si>
    <t xml:space="preserve">Terminal value tests</t>
  </si>
  <si>
    <t xml:space="preserve">Stable growth at or below the risk-free rate</t>
  </si>
  <si>
    <t xml:space="preserve">Cap growth at the risk-free rate</t>
  </si>
  <si>
    <t xml:space="preserve">Cost of capital above stable growth</t>
  </si>
  <si>
    <t xml:space="preserve">Terminal value formula is valid</t>
  </si>
  <si>
    <t xml:space="preserve">Return on new capital at or above the cost of capital</t>
  </si>
  <si>
    <t xml:space="preserve">If FAIL, growth destroys value</t>
  </si>
  <si>
    <t xml:space="preserve">Terminal value share of enterprise value below 90%</t>
  </si>
  <si>
    <t xml:space="preserve">Flag only; a high share is normal but needs credible assumptions</t>
  </si>
  <si>
    <t xml:space="preserve">Overall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</si>
</sst>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0"/>
    <numFmt numFmtId="168" formatCode="#,##0.0;\(#,##0.0\);\-"/>
    <numFmt numFmtId="169" formatCode="0.0000"/>
    <numFmt numFmtId="170" formatCode="0.0\x"/>
    <numFmt numFmtId="171" formatCode="0.00;\(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FFFF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12" fillId="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5" hidden="false" customHeight="true" outlineLevel="0" collapsed="false">
      <c r="A4" s="3" t="s">
        <v>2</v>
      </c>
      <c r="B4" s="4" t="s">
        <v>3</v>
      </c>
    </row>
    <row r="5" customFormat="false" ht="30" hidden="false" customHeight="true" outlineLevel="0" collapsed="false">
      <c r="A5" s="3" t="s">
        <v>4</v>
      </c>
      <c r="B5" s="4" t="s">
        <v>5</v>
      </c>
    </row>
    <row r="6" customFormat="false" ht="30" hidden="false" customHeight="true" outlineLevel="0" collapsed="false">
      <c r="A6" s="3" t="s">
        <v>6</v>
      </c>
      <c r="B6" s="4" t="s">
        <v>7</v>
      </c>
    </row>
    <row r="7" customFormat="false" ht="120" hidden="false" customHeight="true" outlineLevel="0" collapsed="false">
      <c r="A7" s="3" t="s">
        <v>8</v>
      </c>
      <c r="B7" s="4" t="s">
        <v>9</v>
      </c>
    </row>
    <row r="8" customFormat="false" ht="90" hidden="false" customHeight="true" outlineLevel="0" collapsed="false">
      <c r="A8" s="3" t="s">
        <v>10</v>
      </c>
      <c r="B8" s="4" t="s">
        <v>11</v>
      </c>
    </row>
    <row r="9" customFormat="false" ht="45" hidden="false" customHeight="true" outlineLevel="0" collapsed="false">
      <c r="A9" s="3" t="s">
        <v>12</v>
      </c>
      <c r="B9" s="4" t="s">
        <v>13</v>
      </c>
    </row>
    <row r="10" customFormat="false" ht="30" hidden="false" customHeight="true" outlineLevel="0" collapsed="false">
      <c r="A10" s="3" t="s">
        <v>14</v>
      </c>
      <c r="B10" s="4" t="s">
        <v>15</v>
      </c>
    </row>
    <row r="11" customFormat="false" ht="30" hidden="false" customHeight="true" outlineLevel="0" collapsed="false">
      <c r="A11" s="3" t="s">
        <v>16</v>
      </c>
      <c r="B11" s="4" t="s">
        <v>17</v>
      </c>
    </row>
    <row r="12" customFormat="false" ht="30" hidden="false" customHeight="tru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2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20</v>
      </c>
    </row>
    <row r="4" customFormat="false" ht="15" hidden="false" customHeight="false" outlineLevel="0" collapsed="false">
      <c r="A4" s="5" t="s">
        <v>21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7" t="s">
        <v>22</v>
      </c>
      <c r="B5" s="8" t="n">
        <v>1000</v>
      </c>
      <c r="G5" s="2" t="s">
        <v>23</v>
      </c>
    </row>
    <row r="6" customFormat="false" ht="15" hidden="false" customHeight="false" outlineLevel="0" collapsed="false">
      <c r="A6" s="7" t="s">
        <v>24</v>
      </c>
      <c r="B6" s="9" t="n">
        <v>0.8</v>
      </c>
      <c r="G6" s="2" t="s">
        <v>25</v>
      </c>
    </row>
    <row r="7" customFormat="false" ht="15" hidden="false" customHeight="false" outlineLevel="0" collapsed="false">
      <c r="A7" s="7" t="s">
        <v>26</v>
      </c>
      <c r="B7" s="9" t="n">
        <v>0.05</v>
      </c>
      <c r="G7" s="2" t="s">
        <v>27</v>
      </c>
    </row>
    <row r="8" customFormat="false" ht="15" hidden="false" customHeight="false" outlineLevel="0" collapsed="false">
      <c r="A8" s="7" t="s">
        <v>28</v>
      </c>
      <c r="B8" s="9" t="n">
        <v>0.15</v>
      </c>
      <c r="G8" s="2" t="s">
        <v>29</v>
      </c>
    </row>
    <row r="9" customFormat="false" ht="15" hidden="false" customHeight="false" outlineLevel="0" collapsed="false">
      <c r="A9" s="7" t="s">
        <v>30</v>
      </c>
      <c r="B9" s="9" t="n">
        <v>0.1</v>
      </c>
      <c r="G9" s="2" t="s">
        <v>31</v>
      </c>
    </row>
    <row r="10" customFormat="false" ht="15" hidden="false" customHeight="false" outlineLevel="0" collapsed="false">
      <c r="A10" s="7" t="s">
        <v>32</v>
      </c>
      <c r="B10" s="9" t="n">
        <v>0.1</v>
      </c>
      <c r="G10" s="2" t="s">
        <v>31</v>
      </c>
    </row>
    <row r="11" customFormat="false" ht="15" hidden="false" customHeight="false" outlineLevel="0" collapsed="false">
      <c r="A11" s="7" t="s">
        <v>33</v>
      </c>
      <c r="B11" s="9" t="n">
        <v>0.65</v>
      </c>
      <c r="G11" s="2" t="s">
        <v>34</v>
      </c>
    </row>
    <row r="12" customFormat="false" ht="15" hidden="false" customHeight="false" outlineLevel="0" collapsed="false">
      <c r="A12" s="7" t="s">
        <v>35</v>
      </c>
      <c r="B12" s="8" t="n">
        <v>100</v>
      </c>
      <c r="G12" s="2" t="s">
        <v>36</v>
      </c>
    </row>
    <row r="13" customFormat="false" ht="15" hidden="false" customHeight="false" outlineLevel="0" collapsed="false">
      <c r="A13" s="5" t="s">
        <v>37</v>
      </c>
      <c r="B13" s="6"/>
      <c r="C13" s="6"/>
      <c r="D13" s="6"/>
      <c r="E13" s="6"/>
      <c r="F13" s="6"/>
      <c r="G13" s="6"/>
    </row>
    <row r="14" customFormat="false" ht="15" hidden="false" customHeight="false" outlineLevel="0" collapsed="false">
      <c r="A14" s="7" t="s">
        <v>38</v>
      </c>
      <c r="B14" s="9" t="n">
        <v>0.075</v>
      </c>
      <c r="G14" s="2" t="s">
        <v>39</v>
      </c>
    </row>
    <row r="15" customFormat="false" ht="15" hidden="false" customHeight="false" outlineLevel="0" collapsed="false">
      <c r="A15" s="7" t="s">
        <v>40</v>
      </c>
      <c r="B15" s="9" t="n">
        <v>0</v>
      </c>
      <c r="G15" s="2" t="s">
        <v>41</v>
      </c>
    </row>
    <row r="16" customFormat="false" ht="15" hidden="false" customHeight="false" outlineLevel="0" collapsed="false">
      <c r="A16" s="7" t="s">
        <v>42</v>
      </c>
      <c r="B16" s="9" t="n">
        <v>0.3</v>
      </c>
    </row>
    <row r="17" customFormat="false" ht="15" hidden="false" customHeight="false" outlineLevel="0" collapsed="false">
      <c r="A17" s="7" t="s">
        <v>43</v>
      </c>
      <c r="B17" s="9" t="n">
        <v>0.3</v>
      </c>
      <c r="G17" s="2" t="s">
        <v>44</v>
      </c>
    </row>
    <row r="18" customFormat="false" ht="15" hidden="false" customHeight="false" outlineLevel="0" collapsed="false">
      <c r="A18" s="7" t="s">
        <v>45</v>
      </c>
      <c r="B18" s="9" t="n">
        <v>0.5</v>
      </c>
    </row>
    <row r="19" customFormat="false" ht="15" hidden="false" customHeight="false" outlineLevel="0" collapsed="false">
      <c r="A19" s="7" t="s">
        <v>46</v>
      </c>
      <c r="B19" s="8" t="n">
        <v>50</v>
      </c>
    </row>
    <row r="20" customFormat="false" ht="15" hidden="false" customHeight="false" outlineLevel="0" collapsed="false">
      <c r="A20" s="7" t="s">
        <v>47</v>
      </c>
      <c r="B20" s="8" t="n">
        <v>100</v>
      </c>
    </row>
    <row r="21" customFormat="false" ht="15" hidden="false" customHeight="false" outlineLevel="0" collapsed="false">
      <c r="A21" s="7" t="s">
        <v>48</v>
      </c>
      <c r="B21" s="8" t="n">
        <v>400</v>
      </c>
    </row>
    <row r="22" customFormat="false" ht="15" hidden="false" customHeight="false" outlineLevel="0" collapsed="false">
      <c r="A22" s="7" t="s">
        <v>49</v>
      </c>
      <c r="B22" s="8" t="n">
        <v>600</v>
      </c>
    </row>
    <row r="23" customFormat="false" ht="15" hidden="false" customHeight="false" outlineLevel="0" collapsed="false">
      <c r="A23" s="5" t="s">
        <v>10</v>
      </c>
      <c r="B23" s="6"/>
      <c r="C23" s="6"/>
      <c r="D23" s="6"/>
      <c r="E23" s="6"/>
      <c r="F23" s="6"/>
      <c r="G23" s="6"/>
    </row>
    <row r="24" customFormat="false" ht="15" hidden="false" customHeight="false" outlineLevel="0" collapsed="false">
      <c r="A24" s="7" t="s">
        <v>50</v>
      </c>
      <c r="B24" s="10" t="n">
        <v>1</v>
      </c>
      <c r="G24" s="2" t="s">
        <v>51</v>
      </c>
    </row>
    <row r="25" customFormat="false" ht="15" hidden="false" customHeight="false" outlineLevel="0" collapsed="false">
      <c r="A25" s="7" t="s">
        <v>52</v>
      </c>
      <c r="B25" s="10" t="n">
        <v>1</v>
      </c>
      <c r="G25" s="2" t="s">
        <v>53</v>
      </c>
    </row>
    <row r="26" customFormat="false" ht="15" hidden="false" customHeight="false" outlineLevel="0" collapsed="false">
      <c r="A26" s="7" t="s">
        <v>54</v>
      </c>
      <c r="B26" s="11" t="n">
        <f aca="false">CHOOSE(B24,B17,B18)</f>
        <v>0.3</v>
      </c>
    </row>
    <row r="27" customFormat="false" ht="15" hidden="false" customHeight="false" outlineLevel="0" collapsed="false">
      <c r="A27" s="5" t="s">
        <v>55</v>
      </c>
      <c r="B27" s="6"/>
      <c r="C27" s="6"/>
      <c r="D27" s="6"/>
      <c r="E27" s="6"/>
      <c r="F27" s="6"/>
      <c r="G27" s="6"/>
    </row>
    <row r="28" customFormat="false" ht="15" hidden="false" customHeight="false" outlineLevel="0" collapsed="false">
      <c r="A28" s="12"/>
      <c r="B28" s="13" t="s">
        <v>56</v>
      </c>
      <c r="C28" s="13" t="s">
        <v>57</v>
      </c>
      <c r="D28" s="13" t="s">
        <v>58</v>
      </c>
      <c r="E28" s="13" t="s">
        <v>59</v>
      </c>
      <c r="F28" s="13" t="s">
        <v>60</v>
      </c>
    </row>
    <row r="29" customFormat="false" ht="15" hidden="false" customHeight="false" outlineLevel="0" collapsed="false">
      <c r="A29" s="7" t="s">
        <v>61</v>
      </c>
      <c r="B29" s="9" t="n">
        <v>0.08</v>
      </c>
      <c r="C29" s="9" t="n">
        <v>0.07</v>
      </c>
      <c r="D29" s="9" t="n">
        <v>0.06</v>
      </c>
      <c r="E29" s="9" t="n">
        <v>0.05</v>
      </c>
      <c r="F29" s="9" t="n">
        <v>0.04</v>
      </c>
    </row>
    <row r="30" customFormat="false" ht="15" hidden="false" customHeight="false" outlineLevel="0" collapsed="false">
      <c r="A30" s="7" t="s">
        <v>62</v>
      </c>
      <c r="B30" s="9" t="n">
        <v>0.2</v>
      </c>
      <c r="C30" s="9" t="n">
        <v>0.15</v>
      </c>
      <c r="D30" s="9" t="n">
        <v>0.12</v>
      </c>
      <c r="E30" s="9" t="n">
        <v>0.1</v>
      </c>
      <c r="F30" s="9" t="n">
        <v>0.08</v>
      </c>
    </row>
    <row r="31" customFormat="false" ht="15" hidden="false" customHeight="false" outlineLevel="0" collapsed="false">
      <c r="A31" s="14" t="s">
        <v>63</v>
      </c>
      <c r="B31" s="11" t="n">
        <f aca="false">CHOOSE($B$24,B29,B30)</f>
        <v>0.08</v>
      </c>
      <c r="C31" s="11" t="n">
        <f aca="false">CHOOSE($B$24,C29,C30)</f>
        <v>0.07</v>
      </c>
      <c r="D31" s="11" t="n">
        <f aca="false">CHOOSE($B$24,D29,D30)</f>
        <v>0.06</v>
      </c>
      <c r="E31" s="11" t="n">
        <f aca="false">CHOOSE($B$24,E29,E30)</f>
        <v>0.05</v>
      </c>
      <c r="F31" s="11" t="n">
        <f aca="false">CHOOSE($B$24,F29,F30)</f>
        <v>0.04</v>
      </c>
    </row>
    <row r="33" customFormat="false" ht="15" hidden="false" customHeight="false" outlineLevel="0" collapsed="false">
      <c r="A33" s="5" t="s">
        <v>64</v>
      </c>
      <c r="B33" s="6"/>
      <c r="C33" s="6"/>
      <c r="D33" s="6"/>
      <c r="E33" s="6"/>
      <c r="F33" s="6"/>
      <c r="G33" s="6"/>
    </row>
    <row r="34" customFormat="false" ht="15" hidden="false" customHeight="false" outlineLevel="0" collapsed="false">
      <c r="A34" s="7" t="s">
        <v>65</v>
      </c>
      <c r="B34" s="9" t="n">
        <v>0.09</v>
      </c>
      <c r="G34" s="2" t="s">
        <v>66</v>
      </c>
    </row>
    <row r="35" customFormat="false" ht="15" hidden="false" customHeight="false" outlineLevel="0" collapsed="false">
      <c r="A35" s="7" t="s">
        <v>67</v>
      </c>
      <c r="B35" s="9" t="n">
        <v>0.03</v>
      </c>
      <c r="G35" s="2" t="s">
        <v>68</v>
      </c>
    </row>
    <row r="36" customFormat="false" ht="15" hidden="false" customHeight="false" outlineLevel="0" collapsed="false">
      <c r="A36" s="7" t="s">
        <v>69</v>
      </c>
      <c r="B36" s="9" t="n">
        <v>0.1</v>
      </c>
      <c r="G36" s="2" t="s">
        <v>70</v>
      </c>
    </row>
    <row r="37" customFormat="false" ht="15" hidden="false" customHeight="false" outlineLevel="0" collapsed="false">
      <c r="A37" s="7" t="s">
        <v>71</v>
      </c>
      <c r="B37" s="9" t="n">
        <v>0.04</v>
      </c>
      <c r="G37" s="2" t="s">
        <v>66</v>
      </c>
    </row>
    <row r="38" customFormat="false" ht="15" hidden="false" customHeight="false" outlineLevel="0" collapsed="false">
      <c r="A38" s="7" t="s">
        <v>72</v>
      </c>
      <c r="B38" s="15" t="n">
        <v>0</v>
      </c>
      <c r="G38" s="2" t="s">
        <v>73</v>
      </c>
    </row>
    <row r="40" customFormat="false" ht="15" hidden="false" customHeight="false" outlineLevel="0" collapsed="false">
      <c r="A40" s="7" t="s">
        <v>74</v>
      </c>
      <c r="B40" s="11" t="n">
        <f aca="false">(1-B6-B7)*(1-B16)/(B8+B9-B10+B11)</f>
        <v>0.13125</v>
      </c>
      <c r="G40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3" customFormat="false" ht="15" hidden="false" customHeight="false" outlineLevel="0" collapsed="false">
      <c r="A3" s="12"/>
      <c r="B3" s="13" t="s">
        <v>78</v>
      </c>
      <c r="C3" s="13" t="s">
        <v>56</v>
      </c>
      <c r="D3" s="13" t="s">
        <v>57</v>
      </c>
      <c r="E3" s="13" t="s">
        <v>58</v>
      </c>
      <c r="F3" s="13" t="s">
        <v>59</v>
      </c>
      <c r="G3" s="13" t="s">
        <v>60</v>
      </c>
    </row>
    <row r="4" customFormat="false" ht="15" hidden="false" customHeight="false" outlineLevel="0" collapsed="false">
      <c r="A4" s="5" t="s">
        <v>79</v>
      </c>
      <c r="B4" s="6"/>
      <c r="C4" s="6"/>
      <c r="D4" s="6"/>
      <c r="E4" s="6"/>
      <c r="F4" s="6"/>
      <c r="G4" s="6"/>
    </row>
    <row r="5" customFormat="false" ht="15" hidden="false" customHeight="false" outlineLevel="0" collapsed="false">
      <c r="A5" s="7" t="s">
        <v>80</v>
      </c>
      <c r="B5" s="16" t="n">
        <f aca="false">Assumptions!B5</f>
        <v>1000</v>
      </c>
      <c r="C5" s="17" t="n">
        <f aca="false">B5*(1+Assumptions!B31)</f>
        <v>1080</v>
      </c>
      <c r="D5" s="17" t="n">
        <f aca="false">C5*(1+Assumptions!C31)</f>
        <v>1155.6</v>
      </c>
      <c r="E5" s="17" t="n">
        <f aca="false">D5*(1+Assumptions!D31)</f>
        <v>1224.936</v>
      </c>
      <c r="F5" s="17" t="n">
        <f aca="false">E5*(1+Assumptions!E31)</f>
        <v>1286.1828</v>
      </c>
      <c r="G5" s="17" t="n">
        <f aca="false">F5*(1+Assumptions!F31)</f>
        <v>1337.630112</v>
      </c>
    </row>
    <row r="6" customFormat="false" ht="15" hidden="false" customHeight="false" outlineLevel="0" collapsed="false">
      <c r="A6" s="7" t="s">
        <v>81</v>
      </c>
      <c r="B6" s="17" t="n">
        <f aca="false">-Assumptions!$B$6*B5</f>
        <v>-800</v>
      </c>
      <c r="C6" s="17" t="n">
        <f aca="false">-Assumptions!$B$6*C5</f>
        <v>-864</v>
      </c>
      <c r="D6" s="17" t="n">
        <f aca="false">-Assumptions!$B$6*D5</f>
        <v>-924.48</v>
      </c>
      <c r="E6" s="17" t="n">
        <f aca="false">-Assumptions!$B$6*E5</f>
        <v>-979.9488</v>
      </c>
      <c r="F6" s="17" t="n">
        <f aca="false">-Assumptions!$B$6*F5</f>
        <v>-1028.94624</v>
      </c>
      <c r="G6" s="17" t="n">
        <f aca="false">-Assumptions!$B$6*G5</f>
        <v>-1070.1040896</v>
      </c>
    </row>
    <row r="7" customFormat="false" ht="15" hidden="false" customHeight="false" outlineLevel="0" collapsed="false">
      <c r="A7" s="14" t="s">
        <v>82</v>
      </c>
      <c r="B7" s="18" t="n">
        <f aca="false">B5+B6</f>
        <v>200</v>
      </c>
      <c r="C7" s="18" t="n">
        <f aca="false">C5+C6</f>
        <v>216</v>
      </c>
      <c r="D7" s="18" t="n">
        <f aca="false">D5+D6</f>
        <v>231.12</v>
      </c>
      <c r="E7" s="18" t="n">
        <f aca="false">E5+E6</f>
        <v>244.9872</v>
      </c>
      <c r="F7" s="18" t="n">
        <f aca="false">F5+F6</f>
        <v>257.23656</v>
      </c>
      <c r="G7" s="18" t="n">
        <f aca="false">G5+G6</f>
        <v>267.5260224</v>
      </c>
    </row>
    <row r="8" customFormat="false" ht="15" hidden="false" customHeight="false" outlineLevel="0" collapsed="false">
      <c r="A8" s="7" t="s">
        <v>83</v>
      </c>
      <c r="B8" s="17" t="n">
        <f aca="false">-Assumptions!$B$7*B5</f>
        <v>-50</v>
      </c>
      <c r="C8" s="17" t="n">
        <f aca="false">-Assumptions!$B$7*C5</f>
        <v>-54</v>
      </c>
      <c r="D8" s="17" t="n">
        <f aca="false">-Assumptions!$B$7*D5</f>
        <v>-57.78</v>
      </c>
      <c r="E8" s="17" t="n">
        <f aca="false">-Assumptions!$B$7*E5</f>
        <v>-61.2468</v>
      </c>
      <c r="F8" s="17" t="n">
        <f aca="false">-Assumptions!$B$7*F5</f>
        <v>-64.30914</v>
      </c>
      <c r="G8" s="17" t="n">
        <f aca="false">-Assumptions!$B$7*G5</f>
        <v>-66.8815056</v>
      </c>
    </row>
    <row r="9" customFormat="false" ht="15" hidden="false" customHeight="false" outlineLevel="0" collapsed="false">
      <c r="A9" s="14" t="s">
        <v>84</v>
      </c>
      <c r="B9" s="18" t="n">
        <f aca="false">B7+B8</f>
        <v>150</v>
      </c>
      <c r="C9" s="18" t="n">
        <f aca="false">C7+C8</f>
        <v>162</v>
      </c>
      <c r="D9" s="18" t="n">
        <f aca="false">D7+D8</f>
        <v>173.34</v>
      </c>
      <c r="E9" s="18" t="n">
        <f aca="false">E7+E8</f>
        <v>183.7404</v>
      </c>
      <c r="F9" s="18" t="n">
        <f aca="false">F7+F8</f>
        <v>192.92742</v>
      </c>
      <c r="G9" s="18" t="n">
        <f aca="false">G7+G8</f>
        <v>200.6445168</v>
      </c>
    </row>
    <row r="10" customFormat="false" ht="15" hidden="false" customHeight="false" outlineLevel="0" collapsed="false">
      <c r="A10" s="7" t="s">
        <v>85</v>
      </c>
      <c r="B10" s="17" t="n">
        <f aca="false">-Assumptions!$B$14*B25</f>
        <v>-30</v>
      </c>
      <c r="C10" s="17" t="n">
        <f aca="false">-Assumptions!$B$14*B25</f>
        <v>-30</v>
      </c>
      <c r="D10" s="17" t="n">
        <f aca="false">-Assumptions!$B$14*C25</f>
        <v>-30</v>
      </c>
      <c r="E10" s="17" t="n">
        <f aca="false">-Assumptions!$B$14*D25</f>
        <v>-30</v>
      </c>
      <c r="F10" s="17" t="n">
        <f aca="false">-Assumptions!$B$14*E25</f>
        <v>-30</v>
      </c>
      <c r="G10" s="17" t="n">
        <f aca="false">-Assumptions!$B$14*F25</f>
        <v>-30</v>
      </c>
    </row>
    <row r="11" customFormat="false" ht="15" hidden="false" customHeight="false" outlineLevel="0" collapsed="false">
      <c r="A11" s="7" t="s">
        <v>86</v>
      </c>
      <c r="B11" s="17" t="n">
        <f aca="false">0</f>
        <v>0</v>
      </c>
      <c r="C11" s="17" t="n">
        <f aca="false">Assumptions!$B$15*B18</f>
        <v>0</v>
      </c>
      <c r="D11" s="17" t="n">
        <f aca="false">Assumptions!$B$15*C18</f>
        <v>0</v>
      </c>
      <c r="E11" s="17" t="n">
        <f aca="false">Assumptions!$B$15*D18</f>
        <v>0</v>
      </c>
      <c r="F11" s="17" t="n">
        <f aca="false">Assumptions!$B$15*E18</f>
        <v>0</v>
      </c>
      <c r="G11" s="17" t="n">
        <f aca="false">Assumptions!$B$15*F18</f>
        <v>0</v>
      </c>
    </row>
    <row r="12" customFormat="false" ht="15" hidden="false" customHeight="false" outlineLevel="0" collapsed="false">
      <c r="A12" s="7" t="s">
        <v>87</v>
      </c>
      <c r="B12" s="17" t="n">
        <f aca="false">B9+B10+B11</f>
        <v>120</v>
      </c>
      <c r="C12" s="17" t="n">
        <f aca="false">C9+C10+C11</f>
        <v>132</v>
      </c>
      <c r="D12" s="17" t="n">
        <f aca="false">D9+D10+D11</f>
        <v>143.34</v>
      </c>
      <c r="E12" s="17" t="n">
        <f aca="false">E9+E10+E11</f>
        <v>153.7404</v>
      </c>
      <c r="F12" s="17" t="n">
        <f aca="false">F9+F10+F11</f>
        <v>162.92742</v>
      </c>
      <c r="G12" s="17" t="n">
        <f aca="false">G9+G10+G11</f>
        <v>170.6445168</v>
      </c>
    </row>
    <row r="13" customFormat="false" ht="15" hidden="false" customHeight="false" outlineLevel="0" collapsed="false">
      <c r="A13" s="7" t="s">
        <v>88</v>
      </c>
      <c r="B13" s="17" t="n">
        <f aca="false">-Assumptions!$B$16*MAX(B12,0)</f>
        <v>-36</v>
      </c>
      <c r="C13" s="17" t="n">
        <f aca="false">-Assumptions!$B$16*MAX(C12,0)</f>
        <v>-39.6</v>
      </c>
      <c r="D13" s="17" t="n">
        <f aca="false">-Assumptions!$B$16*MAX(D12,0)</f>
        <v>-43.002</v>
      </c>
      <c r="E13" s="17" t="n">
        <f aca="false">-Assumptions!$B$16*MAX(E12,0)</f>
        <v>-46.12212</v>
      </c>
      <c r="F13" s="17" t="n">
        <f aca="false">-Assumptions!$B$16*MAX(F12,0)</f>
        <v>-48.878226</v>
      </c>
      <c r="G13" s="17" t="n">
        <f aca="false">-Assumptions!$B$16*MAX(G12,0)</f>
        <v>-51.19335504</v>
      </c>
    </row>
    <row r="14" customFormat="false" ht="15" hidden="false" customHeight="false" outlineLevel="0" collapsed="false">
      <c r="A14" s="14" t="s">
        <v>89</v>
      </c>
      <c r="B14" s="18" t="n">
        <f aca="false">B12+B13</f>
        <v>84</v>
      </c>
      <c r="C14" s="18" t="n">
        <f aca="false">C12+C13</f>
        <v>92.4</v>
      </c>
      <c r="D14" s="18" t="n">
        <f aca="false">D12+D13</f>
        <v>100.338</v>
      </c>
      <c r="E14" s="18" t="n">
        <f aca="false">E12+E13</f>
        <v>107.61828</v>
      </c>
      <c r="F14" s="18" t="n">
        <f aca="false">F12+F13</f>
        <v>114.049194</v>
      </c>
      <c r="G14" s="18" t="n">
        <f aca="false">G12+G13</f>
        <v>119.45116176</v>
      </c>
    </row>
    <row r="15" customFormat="false" ht="15" hidden="false" customHeight="false" outlineLevel="0" collapsed="false">
      <c r="A15" s="7" t="s">
        <v>90</v>
      </c>
      <c r="B15" s="8" t="n">
        <v>-25</v>
      </c>
      <c r="C15" s="17" t="n">
        <f aca="false">-Assumptions!$B$26*C14</f>
        <v>-27.72</v>
      </c>
      <c r="D15" s="17" t="n">
        <f aca="false">-Assumptions!$B$26*D14</f>
        <v>-30.1014</v>
      </c>
      <c r="E15" s="17" t="n">
        <f aca="false">-Assumptions!$B$26*E14</f>
        <v>-32.285484</v>
      </c>
      <c r="F15" s="17" t="n">
        <f aca="false">-Assumptions!$B$26*F14</f>
        <v>-34.2147582</v>
      </c>
      <c r="G15" s="17" t="n">
        <f aca="false">-Assumptions!$B$26*G14</f>
        <v>-35.835348528</v>
      </c>
    </row>
    <row r="17" customFormat="false" ht="15" hidden="false" customHeight="false" outlineLevel="0" collapsed="false">
      <c r="A17" s="5" t="s">
        <v>91</v>
      </c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7" t="s">
        <v>92</v>
      </c>
      <c r="B18" s="16" t="n">
        <f aca="false">Assumptions!B20</f>
        <v>100</v>
      </c>
      <c r="C18" s="17" t="n">
        <f aca="false">C27-C19-C20-C21-C22</f>
        <v>100.68</v>
      </c>
      <c r="D18" s="17" t="n">
        <f aca="false">D27-D19-D20-D21-D22</f>
        <v>110.4366</v>
      </c>
      <c r="E18" s="17" t="n">
        <f aca="false">E27-E19-E20-E21-E22</f>
        <v>130.300596</v>
      </c>
      <c r="F18" s="17" t="n">
        <f aca="false">F27-F19-F20-F21-F22</f>
        <v>161.1375918</v>
      </c>
      <c r="G18" s="17" t="n">
        <f aca="false">G27-G19-G20-G21-G22</f>
        <v>203.595555432</v>
      </c>
    </row>
    <row r="19" customFormat="false" ht="15" hidden="false" customHeight="false" outlineLevel="0" collapsed="false">
      <c r="A19" s="7" t="s">
        <v>93</v>
      </c>
      <c r="B19" s="17" t="n">
        <f aca="false">Assumptions!$B$8*B5</f>
        <v>150</v>
      </c>
      <c r="C19" s="17" t="n">
        <f aca="false">Assumptions!$B$8*C5</f>
        <v>162</v>
      </c>
      <c r="D19" s="17" t="n">
        <f aca="false">Assumptions!$B$8*D5</f>
        <v>173.34</v>
      </c>
      <c r="E19" s="17" t="n">
        <f aca="false">Assumptions!$B$8*E5</f>
        <v>183.7404</v>
      </c>
      <c r="F19" s="17" t="n">
        <f aca="false">Assumptions!$B$8*F5</f>
        <v>192.92742</v>
      </c>
      <c r="G19" s="17" t="n">
        <f aca="false">Assumptions!$B$8*G5</f>
        <v>200.6445168</v>
      </c>
    </row>
    <row r="20" customFormat="false" ht="15" hidden="false" customHeight="false" outlineLevel="0" collapsed="false">
      <c r="A20" s="7" t="s">
        <v>94</v>
      </c>
      <c r="B20" s="17" t="n">
        <f aca="false">Assumptions!$B$9*B5</f>
        <v>100</v>
      </c>
      <c r="C20" s="17" t="n">
        <f aca="false">Assumptions!$B$9*C5</f>
        <v>108</v>
      </c>
      <c r="D20" s="17" t="n">
        <f aca="false">Assumptions!$B$9*D5</f>
        <v>115.56</v>
      </c>
      <c r="E20" s="17" t="n">
        <f aca="false">Assumptions!$B$9*E5</f>
        <v>122.4936</v>
      </c>
      <c r="F20" s="17" t="n">
        <f aca="false">Assumptions!$B$9*F5</f>
        <v>128.61828</v>
      </c>
      <c r="G20" s="17" t="n">
        <f aca="false">Assumptions!$B$9*G5</f>
        <v>133.7630112</v>
      </c>
    </row>
    <row r="21" customFormat="false" ht="15" hidden="false" customHeight="false" outlineLevel="0" collapsed="false">
      <c r="A21" s="7" t="s">
        <v>95</v>
      </c>
      <c r="B21" s="17" t="n">
        <f aca="false">Assumptions!$B$11*B5</f>
        <v>650</v>
      </c>
      <c r="C21" s="17" t="n">
        <f aca="false">Assumptions!$B$11*C5</f>
        <v>702</v>
      </c>
      <c r="D21" s="17" t="n">
        <f aca="false">Assumptions!$B$11*D5</f>
        <v>751.14</v>
      </c>
      <c r="E21" s="17" t="n">
        <f aca="false">Assumptions!$B$11*E5</f>
        <v>796.2084</v>
      </c>
      <c r="F21" s="17" t="n">
        <f aca="false">Assumptions!$B$11*F5</f>
        <v>836.01882</v>
      </c>
      <c r="G21" s="17" t="n">
        <f aca="false">Assumptions!$B$11*G5</f>
        <v>869.4595728</v>
      </c>
    </row>
    <row r="22" customFormat="false" ht="15" hidden="false" customHeight="false" outlineLevel="0" collapsed="false">
      <c r="A22" s="7" t="s">
        <v>96</v>
      </c>
      <c r="B22" s="16" t="n">
        <f aca="false">Assumptions!$B$12</f>
        <v>100</v>
      </c>
      <c r="C22" s="16" t="n">
        <f aca="false">Assumptions!$B$12</f>
        <v>100</v>
      </c>
      <c r="D22" s="16" t="n">
        <f aca="false">Assumptions!$B$12</f>
        <v>100</v>
      </c>
      <c r="E22" s="16" t="n">
        <f aca="false">Assumptions!$B$12</f>
        <v>100</v>
      </c>
      <c r="F22" s="16" t="n">
        <f aca="false">Assumptions!$B$12</f>
        <v>100</v>
      </c>
      <c r="G22" s="16" t="n">
        <f aca="false">Assumptions!$B$12</f>
        <v>100</v>
      </c>
    </row>
    <row r="23" customFormat="false" ht="15" hidden="false" customHeight="false" outlineLevel="0" collapsed="false">
      <c r="A23" s="14" t="s">
        <v>97</v>
      </c>
      <c r="B23" s="18" t="n">
        <f aca="false">SUM(B18:B22)</f>
        <v>1100</v>
      </c>
      <c r="C23" s="18" t="n">
        <f aca="false">SUM(C18:C22)</f>
        <v>1172.68</v>
      </c>
      <c r="D23" s="18" t="n">
        <f aca="false">SUM(D18:D22)</f>
        <v>1250.4766</v>
      </c>
      <c r="E23" s="18" t="n">
        <f aca="false">SUM(E18:E22)</f>
        <v>1332.742996</v>
      </c>
      <c r="F23" s="18" t="n">
        <f aca="false">SUM(F18:F22)</f>
        <v>1418.7021118</v>
      </c>
      <c r="G23" s="18" t="n">
        <f aca="false">SUM(G18:G22)</f>
        <v>1507.462656232</v>
      </c>
    </row>
    <row r="24" customFormat="false" ht="15" hidden="false" customHeight="false" outlineLevel="0" collapsed="false">
      <c r="A24" s="7" t="s">
        <v>98</v>
      </c>
      <c r="B24" s="17" t="n">
        <f aca="false">Assumptions!$B$10*B5</f>
        <v>100</v>
      </c>
      <c r="C24" s="17" t="n">
        <f aca="false">Assumptions!$B$10*C5</f>
        <v>108</v>
      </c>
      <c r="D24" s="17" t="n">
        <f aca="false">Assumptions!$B$10*D5</f>
        <v>115.56</v>
      </c>
      <c r="E24" s="17" t="n">
        <f aca="false">Assumptions!$B$10*E5</f>
        <v>122.4936</v>
      </c>
      <c r="F24" s="17" t="n">
        <f aca="false">Assumptions!$B$10*F5</f>
        <v>128.61828</v>
      </c>
      <c r="G24" s="17" t="n">
        <f aca="false">Assumptions!$B$10*G5</f>
        <v>133.7630112</v>
      </c>
    </row>
    <row r="25" customFormat="false" ht="15" hidden="false" customHeight="false" outlineLevel="0" collapsed="false">
      <c r="A25" s="7" t="s">
        <v>99</v>
      </c>
      <c r="B25" s="16" t="n">
        <f aca="false">Assumptions!B21</f>
        <v>400</v>
      </c>
      <c r="C25" s="17" t="n">
        <f aca="false">IF(Assumptions!$B$25=1,B25,MAX(B25,B25+Assumptions!$B$19-(B18+C33+C34+C36)))</f>
        <v>400</v>
      </c>
      <c r="D25" s="17" t="n">
        <f aca="false">IF(Assumptions!$B$25=1,C25,MAX(C25,C25+Assumptions!$B$19-(C18+D33+D34+D36)))</f>
        <v>400</v>
      </c>
      <c r="E25" s="17" t="n">
        <f aca="false">IF(Assumptions!$B$25=1,D25,MAX(D25,D25+Assumptions!$B$19-(D18+E33+E34+E36)))</f>
        <v>400</v>
      </c>
      <c r="F25" s="17" t="n">
        <f aca="false">IF(Assumptions!$B$25=1,E25,MAX(E25,E25+Assumptions!$B$19-(E18+F33+F34+F36)))</f>
        <v>400</v>
      </c>
      <c r="G25" s="17" t="n">
        <f aca="false">IF(Assumptions!$B$25=1,F25,MAX(F25,F25+Assumptions!$B$19-(F18+G33+G34+G36)))</f>
        <v>400</v>
      </c>
    </row>
    <row r="26" customFormat="false" ht="15" hidden="false" customHeight="false" outlineLevel="0" collapsed="false">
      <c r="A26" s="7" t="s">
        <v>100</v>
      </c>
      <c r="B26" s="16" t="n">
        <f aca="false">Assumptions!B22</f>
        <v>600</v>
      </c>
      <c r="C26" s="17" t="n">
        <f aca="false">B26+C14+C15</f>
        <v>664.68</v>
      </c>
      <c r="D26" s="17" t="n">
        <f aca="false">C26+D14+D15</f>
        <v>734.9166</v>
      </c>
      <c r="E26" s="17" t="n">
        <f aca="false">D26+E14+E15</f>
        <v>810.249396</v>
      </c>
      <c r="F26" s="17" t="n">
        <f aca="false">E26+F14+F15</f>
        <v>890.0838318</v>
      </c>
      <c r="G26" s="17" t="n">
        <f aca="false">F26+G14+G15</f>
        <v>973.699645032</v>
      </c>
    </row>
    <row r="27" customFormat="false" ht="15" hidden="false" customHeight="false" outlineLevel="0" collapsed="false">
      <c r="A27" s="14" t="s">
        <v>101</v>
      </c>
      <c r="B27" s="18" t="n">
        <f aca="false">B24+B25+B26</f>
        <v>1100</v>
      </c>
      <c r="C27" s="18" t="n">
        <f aca="false">C24+C25+C26</f>
        <v>1172.68</v>
      </c>
      <c r="D27" s="18" t="n">
        <f aca="false">D24+D25+D26</f>
        <v>1250.4766</v>
      </c>
      <c r="E27" s="18" t="n">
        <f aca="false">E24+E25+E26</f>
        <v>1332.742996</v>
      </c>
      <c r="F27" s="18" t="n">
        <f aca="false">F24+F25+F26</f>
        <v>1418.7021118</v>
      </c>
      <c r="G27" s="18" t="n">
        <f aca="false">G24+G25+G26</f>
        <v>1507.462656232</v>
      </c>
    </row>
    <row r="29" customFormat="false" ht="15" hidden="false" customHeight="false" outlineLevel="0" collapsed="false">
      <c r="A29" s="5" t="s">
        <v>102</v>
      </c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7" t="s">
        <v>89</v>
      </c>
      <c r="C30" s="17" t="n">
        <f aca="false">C14</f>
        <v>92.4</v>
      </c>
      <c r="D30" s="17" t="n">
        <f aca="false">D14</f>
        <v>100.338</v>
      </c>
      <c r="E30" s="17" t="n">
        <f aca="false">E14</f>
        <v>107.61828</v>
      </c>
      <c r="F30" s="17" t="n">
        <f aca="false">F14</f>
        <v>114.049194</v>
      </c>
      <c r="G30" s="17" t="n">
        <f aca="false">G14</f>
        <v>119.45116176</v>
      </c>
    </row>
    <row r="31" customFormat="false" ht="15" hidden="false" customHeight="false" outlineLevel="0" collapsed="false">
      <c r="A31" s="7" t="s">
        <v>103</v>
      </c>
      <c r="C31" s="17" t="n">
        <f aca="false">-C8</f>
        <v>54</v>
      </c>
      <c r="D31" s="17" t="n">
        <f aca="false">-D8</f>
        <v>57.78</v>
      </c>
      <c r="E31" s="17" t="n">
        <f aca="false">-E8</f>
        <v>61.2468</v>
      </c>
      <c r="F31" s="17" t="n">
        <f aca="false">-F8</f>
        <v>64.30914</v>
      </c>
      <c r="G31" s="17" t="n">
        <f aca="false">-G8</f>
        <v>66.8815056</v>
      </c>
    </row>
    <row r="32" customFormat="false" ht="15" hidden="false" customHeight="false" outlineLevel="0" collapsed="false">
      <c r="A32" s="7" t="s">
        <v>104</v>
      </c>
      <c r="C32" s="17" t="n">
        <f aca="false">-((C19+C20-C24)-(B19+B20-B24))</f>
        <v>-12</v>
      </c>
      <c r="D32" s="17" t="n">
        <f aca="false">-((D19+D20-D24)-(C19+C20-C24))</f>
        <v>-11.34</v>
      </c>
      <c r="E32" s="17" t="n">
        <f aca="false">-((E19+E20-E24)-(D19+D20-D24))</f>
        <v>-10.4004</v>
      </c>
      <c r="F32" s="17" t="n">
        <f aca="false">-((F19+F20-F24)-(E19+E20-E24))</f>
        <v>-9.18702000000002</v>
      </c>
      <c r="G32" s="17" t="n">
        <f aca="false">-((G19+G20-G24)-(F19+F20-F24))</f>
        <v>-7.71709680000001</v>
      </c>
    </row>
    <row r="33" customFormat="false" ht="15" hidden="false" customHeight="false" outlineLevel="0" collapsed="false">
      <c r="A33" s="14" t="s">
        <v>105</v>
      </c>
      <c r="C33" s="18" t="n">
        <f aca="false">SUM(C30:C32)</f>
        <v>134.4</v>
      </c>
      <c r="D33" s="18" t="n">
        <f aca="false">SUM(D30:D32)</f>
        <v>146.778</v>
      </c>
      <c r="E33" s="18" t="n">
        <f aca="false">SUM(E30:E32)</f>
        <v>158.46468</v>
      </c>
      <c r="F33" s="18" t="n">
        <f aca="false">SUM(F30:F32)</f>
        <v>169.171314</v>
      </c>
      <c r="G33" s="18" t="n">
        <f aca="false">SUM(G30:G32)</f>
        <v>178.61557056</v>
      </c>
    </row>
    <row r="34" customFormat="false" ht="15" hidden="false" customHeight="false" outlineLevel="0" collapsed="false">
      <c r="A34" s="7" t="s">
        <v>106</v>
      </c>
      <c r="C34" s="17" t="n">
        <f aca="false">-((C21-B21)-C8)</f>
        <v>-106</v>
      </c>
      <c r="D34" s="17" t="n">
        <f aca="false">-((D21-C21)-D8)</f>
        <v>-106.92</v>
      </c>
      <c r="E34" s="17" t="n">
        <f aca="false">-((E21-D21)-E8)</f>
        <v>-106.3152</v>
      </c>
      <c r="F34" s="17" t="n">
        <f aca="false">-((F21-E21)-F8)</f>
        <v>-104.11956</v>
      </c>
      <c r="G34" s="17" t="n">
        <f aca="false">-((G21-F21)-G8)</f>
        <v>-100.3222584</v>
      </c>
    </row>
    <row r="35" customFormat="false" ht="15" hidden="false" customHeight="false" outlineLevel="0" collapsed="false">
      <c r="A35" s="14" t="s">
        <v>107</v>
      </c>
      <c r="C35" s="18" t="n">
        <f aca="false">C34</f>
        <v>-106</v>
      </c>
      <c r="D35" s="18" t="n">
        <f aca="false">D34</f>
        <v>-106.92</v>
      </c>
      <c r="E35" s="18" t="n">
        <f aca="false">E34</f>
        <v>-106.3152</v>
      </c>
      <c r="F35" s="18" t="n">
        <f aca="false">F34</f>
        <v>-104.11956</v>
      </c>
      <c r="G35" s="18" t="n">
        <f aca="false">G34</f>
        <v>-100.3222584</v>
      </c>
    </row>
    <row r="36" customFormat="false" ht="15" hidden="false" customHeight="false" outlineLevel="0" collapsed="false">
      <c r="A36" s="7" t="s">
        <v>90</v>
      </c>
      <c r="C36" s="17" t="n">
        <f aca="false">C15</f>
        <v>-27.72</v>
      </c>
      <c r="D36" s="17" t="n">
        <f aca="false">D15</f>
        <v>-30.1014</v>
      </c>
      <c r="E36" s="17" t="n">
        <f aca="false">E15</f>
        <v>-32.285484</v>
      </c>
      <c r="F36" s="17" t="n">
        <f aca="false">F15</f>
        <v>-34.2147582</v>
      </c>
      <c r="G36" s="17" t="n">
        <f aca="false">G15</f>
        <v>-35.835348528</v>
      </c>
    </row>
    <row r="37" customFormat="false" ht="15" hidden="false" customHeight="false" outlineLevel="0" collapsed="false">
      <c r="A37" s="7" t="s">
        <v>108</v>
      </c>
      <c r="C37" s="17" t="n">
        <f aca="false">C25-B25</f>
        <v>0</v>
      </c>
      <c r="D37" s="17" t="n">
        <f aca="false">D25-C25</f>
        <v>0</v>
      </c>
      <c r="E37" s="17" t="n">
        <f aca="false">E25-D25</f>
        <v>0</v>
      </c>
      <c r="F37" s="17" t="n">
        <f aca="false">F25-E25</f>
        <v>0</v>
      </c>
      <c r="G37" s="17" t="n">
        <f aca="false">G25-F25</f>
        <v>0</v>
      </c>
    </row>
    <row r="38" customFormat="false" ht="15" hidden="false" customHeight="false" outlineLevel="0" collapsed="false">
      <c r="A38" s="14" t="s">
        <v>109</v>
      </c>
      <c r="C38" s="18" t="n">
        <f aca="false">C36+C37</f>
        <v>-27.72</v>
      </c>
      <c r="D38" s="18" t="n">
        <f aca="false">D36+D37</f>
        <v>-30.1014</v>
      </c>
      <c r="E38" s="18" t="n">
        <f aca="false">E36+E37</f>
        <v>-32.285484</v>
      </c>
      <c r="F38" s="18" t="n">
        <f aca="false">F36+F37</f>
        <v>-34.2147582</v>
      </c>
      <c r="G38" s="18" t="n">
        <f aca="false">G36+G37</f>
        <v>-35.835348528</v>
      </c>
    </row>
    <row r="39" customFormat="false" ht="15" hidden="false" customHeight="false" outlineLevel="0" collapsed="false">
      <c r="A39" s="14" t="s">
        <v>110</v>
      </c>
      <c r="C39" s="18" t="n">
        <f aca="false">C33+C35+C38</f>
        <v>0.680000000000003</v>
      </c>
      <c r="D39" s="18" t="n">
        <f aca="false">D33+D35+D38</f>
        <v>9.75659999999986</v>
      </c>
      <c r="E39" s="18" t="n">
        <f aca="false">E33+E35+E38</f>
        <v>19.863996</v>
      </c>
      <c r="F39" s="18" t="n">
        <f aca="false">F33+F35+F38</f>
        <v>30.8369957999999</v>
      </c>
      <c r="G39" s="18" t="n">
        <f aca="false">G33+G35+G38</f>
        <v>42.4579636320001</v>
      </c>
    </row>
    <row r="40" customFormat="false" ht="15" hidden="false" customHeight="false" outlineLevel="0" collapsed="false">
      <c r="A40" s="7" t="s">
        <v>111</v>
      </c>
      <c r="C40" s="17" t="n">
        <f aca="false">C18-B18</f>
        <v>0.679999999999836</v>
      </c>
      <c r="D40" s="17" t="n">
        <f aca="false">D18-C18</f>
        <v>9.75660000000005</v>
      </c>
      <c r="E40" s="17" t="n">
        <f aca="false">E18-D18</f>
        <v>19.8639959999998</v>
      </c>
      <c r="F40" s="17" t="n">
        <f aca="false">F18-E18</f>
        <v>30.8369958000002</v>
      </c>
      <c r="G40" s="17" t="n">
        <f aca="false">G18-F18</f>
        <v>42.457963632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7" min="2" style="0" width="13"/>
  </cols>
  <sheetData>
    <row r="1" customFormat="false" ht="17.35" hidden="false" customHeight="fals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3" customFormat="false" ht="15" hidden="false" customHeight="false" outlineLevel="0" collapsed="false">
      <c r="A3" s="12"/>
      <c r="B3" s="13"/>
      <c r="C3" s="13" t="s">
        <v>56</v>
      </c>
      <c r="D3" s="13" t="s">
        <v>57</v>
      </c>
      <c r="E3" s="13" t="s">
        <v>58</v>
      </c>
      <c r="F3" s="13" t="s">
        <v>59</v>
      </c>
      <c r="G3" s="13" t="s">
        <v>60</v>
      </c>
    </row>
    <row r="4" customFormat="false" ht="15" hidden="false" customHeight="false" outlineLevel="0" collapsed="false">
      <c r="A4" s="7" t="s">
        <v>114</v>
      </c>
      <c r="C4" s="19" t="n">
        <v>1</v>
      </c>
      <c r="D4" s="19" t="n">
        <v>2</v>
      </c>
      <c r="E4" s="19" t="n">
        <v>3</v>
      </c>
      <c r="F4" s="19" t="n">
        <v>4</v>
      </c>
      <c r="G4" s="19" t="n">
        <v>5</v>
      </c>
    </row>
    <row r="5" customFormat="false" ht="15" hidden="false" customHeight="false" outlineLevel="0" collapsed="false">
      <c r="A5" s="7" t="s">
        <v>115</v>
      </c>
      <c r="C5" s="20" t="n">
        <f aca="false">Statements!C9*(1-Assumptions!$B$16)</f>
        <v>113.4</v>
      </c>
      <c r="D5" s="20" t="n">
        <f aca="false">Statements!D9*(1-Assumptions!$B$16)</f>
        <v>121.338</v>
      </c>
      <c r="E5" s="20" t="n">
        <f aca="false">Statements!E9*(1-Assumptions!$B$16)</f>
        <v>128.61828</v>
      </c>
      <c r="F5" s="20" t="n">
        <f aca="false">Statements!F9*(1-Assumptions!$B$16)</f>
        <v>135.049194</v>
      </c>
      <c r="G5" s="20" t="n">
        <f aca="false">Statements!G9*(1-Assumptions!$B$16)</f>
        <v>140.45116176</v>
      </c>
    </row>
    <row r="6" customFormat="false" ht="15" hidden="false" customHeight="false" outlineLevel="0" collapsed="false">
      <c r="A6" s="7" t="s">
        <v>103</v>
      </c>
      <c r="C6" s="20" t="n">
        <f aca="false">-Statements!C8</f>
        <v>54</v>
      </c>
      <c r="D6" s="20" t="n">
        <f aca="false">-Statements!D8</f>
        <v>57.78</v>
      </c>
      <c r="E6" s="20" t="n">
        <f aca="false">-Statements!E8</f>
        <v>61.2468</v>
      </c>
      <c r="F6" s="20" t="n">
        <f aca="false">-Statements!F8</f>
        <v>64.30914</v>
      </c>
      <c r="G6" s="20" t="n">
        <f aca="false">-Statements!G8</f>
        <v>66.8815056</v>
      </c>
    </row>
    <row r="7" customFormat="false" ht="15" hidden="false" customHeight="false" outlineLevel="0" collapsed="false">
      <c r="A7" s="7" t="s">
        <v>116</v>
      </c>
      <c r="C7" s="21" t="n">
        <f aca="false">Statements!C34</f>
        <v>-106</v>
      </c>
      <c r="D7" s="21" t="n">
        <f aca="false">Statements!D34</f>
        <v>-106.92</v>
      </c>
      <c r="E7" s="21" t="n">
        <f aca="false">Statements!E34</f>
        <v>-106.3152</v>
      </c>
      <c r="F7" s="21" t="n">
        <f aca="false">Statements!F34</f>
        <v>-104.11956</v>
      </c>
      <c r="G7" s="21" t="n">
        <f aca="false">Statements!G34</f>
        <v>-100.3222584</v>
      </c>
    </row>
    <row r="8" customFormat="false" ht="15" hidden="false" customHeight="false" outlineLevel="0" collapsed="false">
      <c r="A8" s="7" t="s">
        <v>104</v>
      </c>
      <c r="C8" s="21" t="n">
        <f aca="false">Statements!C32</f>
        <v>-12</v>
      </c>
      <c r="D8" s="21" t="n">
        <f aca="false">Statements!D32</f>
        <v>-11.34</v>
      </c>
      <c r="E8" s="21" t="n">
        <f aca="false">Statements!E32</f>
        <v>-10.4004</v>
      </c>
      <c r="F8" s="21" t="n">
        <f aca="false">Statements!F32</f>
        <v>-9.18702000000002</v>
      </c>
      <c r="G8" s="21" t="n">
        <f aca="false">Statements!G32</f>
        <v>-7.71709680000001</v>
      </c>
    </row>
    <row r="9" customFormat="false" ht="15" hidden="false" customHeight="false" outlineLevel="0" collapsed="false">
      <c r="A9" s="14" t="s">
        <v>117</v>
      </c>
      <c r="C9" s="22" t="n">
        <f aca="false">SUM(C5:C8)</f>
        <v>49.4</v>
      </c>
      <c r="D9" s="22" t="n">
        <f aca="false">SUM(D5:D8)</f>
        <v>60.8579999999999</v>
      </c>
      <c r="E9" s="22" t="n">
        <f aca="false">SUM(E5:E8)</f>
        <v>73.14948</v>
      </c>
      <c r="F9" s="22" t="n">
        <f aca="false">SUM(F5:F8)</f>
        <v>86.0517539999999</v>
      </c>
      <c r="G9" s="22" t="n">
        <f aca="false">SUM(G5:G8)</f>
        <v>99.2933121600001</v>
      </c>
    </row>
    <row r="10" customFormat="false" ht="15" hidden="false" customHeight="false" outlineLevel="0" collapsed="false">
      <c r="A10" s="7" t="s">
        <v>118</v>
      </c>
      <c r="C10" s="20" t="n">
        <f aca="false">C5-C9</f>
        <v>64</v>
      </c>
      <c r="D10" s="20" t="n">
        <f aca="false">D5-D9</f>
        <v>60.4800000000001</v>
      </c>
      <c r="E10" s="20" t="n">
        <f aca="false">E5-E9</f>
        <v>55.4688</v>
      </c>
      <c r="F10" s="20" t="n">
        <f aca="false">F5-F9</f>
        <v>48.9974400000002</v>
      </c>
      <c r="G10" s="20" t="n">
        <f aca="false">G5-G9</f>
        <v>41.1578495999999</v>
      </c>
    </row>
    <row r="11" customFormat="false" ht="15" hidden="false" customHeight="false" outlineLevel="0" collapsed="false">
      <c r="A11" s="7" t="s">
        <v>119</v>
      </c>
      <c r="C11" s="23" t="n">
        <f aca="false">1/(1+Assumptions!$B$34)^(C4-0.5*Assumptions!$B$38)</f>
        <v>0.91743119266055</v>
      </c>
      <c r="D11" s="23" t="n">
        <f aca="false">1/(1+Assumptions!$B$34)^(D4-0.5*Assumptions!$B$38)</f>
        <v>0.84167999326656</v>
      </c>
      <c r="E11" s="23" t="n">
        <f aca="false">1/(1+Assumptions!$B$34)^(E4-0.5*Assumptions!$B$38)</f>
        <v>0.772183480061064</v>
      </c>
      <c r="F11" s="23" t="n">
        <f aca="false">1/(1+Assumptions!$B$34)^(F4-0.5*Assumptions!$B$38)</f>
        <v>0.708425211065196</v>
      </c>
      <c r="G11" s="23" t="n">
        <f aca="false">1/(1+Assumptions!$B$34)^(G4-0.5*Assumptions!$B$38)</f>
        <v>0.649931386298345</v>
      </c>
    </row>
    <row r="12" customFormat="false" ht="15" hidden="false" customHeight="false" outlineLevel="0" collapsed="false">
      <c r="A12" s="7" t="s">
        <v>120</v>
      </c>
      <c r="C12" s="20" t="n">
        <f aca="false">C9*C11</f>
        <v>45.3211009174312</v>
      </c>
      <c r="D12" s="20" t="n">
        <f aca="false">D9*D11</f>
        <v>51.2229610302162</v>
      </c>
      <c r="E12" s="20" t="n">
        <f aca="false">E9*E11</f>
        <v>56.4848200310572</v>
      </c>
      <c r="F12" s="20" t="n">
        <f aca="false">F9*F11</f>
        <v>60.9612319899803</v>
      </c>
      <c r="G12" s="20" t="n">
        <f aca="false">G9*G11</f>
        <v>64.5338400223032</v>
      </c>
    </row>
    <row r="14" customFormat="false" ht="15" hidden="false" customHeight="false" outlineLevel="0" collapsed="false">
      <c r="A14" s="5" t="s">
        <v>121</v>
      </c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7" t="s">
        <v>122</v>
      </c>
      <c r="B15" s="20" t="n">
        <f aca="false">G5</f>
        <v>140.45116176</v>
      </c>
    </row>
    <row r="16" customFormat="false" ht="15" hidden="false" customHeight="false" outlineLevel="0" collapsed="false">
      <c r="A16" s="7" t="s">
        <v>123</v>
      </c>
      <c r="B16" s="20" t="n">
        <f aca="false">B15*(1+Assumptions!B35)</f>
        <v>144.6646966128</v>
      </c>
    </row>
    <row r="17" customFormat="false" ht="15" hidden="false" customHeight="false" outlineLevel="0" collapsed="false">
      <c r="A17" s="7" t="s">
        <v>124</v>
      </c>
      <c r="B17" s="11" t="n">
        <f aca="false">Assumptions!B35/Assumptions!B36</f>
        <v>0.3</v>
      </c>
    </row>
    <row r="18" customFormat="false" ht="15" hidden="false" customHeight="false" outlineLevel="0" collapsed="false">
      <c r="A18" s="7" t="s">
        <v>125</v>
      </c>
      <c r="B18" s="20" t="n">
        <f aca="false">B16*(1-B17)</f>
        <v>101.26528762896</v>
      </c>
    </row>
    <row r="19" customFormat="false" ht="15" hidden="false" customHeight="false" outlineLevel="0" collapsed="false">
      <c r="A19" s="7" t="s">
        <v>126</v>
      </c>
      <c r="B19" s="20" t="n">
        <f aca="false">IF(Assumptions!B34&gt;Assumptions!B35,B18/(Assumptions!B34-Assumptions!B35),0)</f>
        <v>1687.754793816</v>
      </c>
      <c r="C19" s="2" t="s">
        <v>127</v>
      </c>
    </row>
    <row r="20" customFormat="false" ht="15" hidden="false" customHeight="false" outlineLevel="0" collapsed="false">
      <c r="A20" s="7" t="s">
        <v>128</v>
      </c>
      <c r="B20" s="20" t="n">
        <f aca="false">B19*G11</f>
        <v>1096.92481287651</v>
      </c>
    </row>
    <row r="21" customFormat="false" ht="15" hidden="false" customHeight="false" outlineLevel="0" collapsed="false">
      <c r="A21" s="7" t="s">
        <v>129</v>
      </c>
      <c r="B21" s="20" t="n">
        <f aca="false">SUM(C12:G12)</f>
        <v>278.523953990988</v>
      </c>
    </row>
    <row r="22" customFormat="false" ht="15" hidden="false" customHeight="false" outlineLevel="0" collapsed="false">
      <c r="A22" s="14" t="s">
        <v>130</v>
      </c>
      <c r="B22" s="22" t="n">
        <f aca="false">B20+B21</f>
        <v>1375.4487668675</v>
      </c>
    </row>
    <row r="23" customFormat="false" ht="15" hidden="false" customHeight="false" outlineLevel="0" collapsed="false">
      <c r="A23" s="7" t="s">
        <v>131</v>
      </c>
      <c r="B23" s="21" t="n">
        <f aca="false">Statements!B18</f>
        <v>100</v>
      </c>
    </row>
    <row r="24" customFormat="false" ht="15" hidden="false" customHeight="false" outlineLevel="0" collapsed="false">
      <c r="A24" s="7" t="s">
        <v>132</v>
      </c>
      <c r="B24" s="20" t="n">
        <f aca="false">-Statements!B25</f>
        <v>-400</v>
      </c>
    </row>
    <row r="25" customFormat="false" ht="15" hidden="false" customHeight="false" outlineLevel="0" collapsed="false">
      <c r="A25" s="14" t="s">
        <v>133</v>
      </c>
      <c r="B25" s="22" t="n">
        <f aca="false">B22+B23+B24</f>
        <v>1075.4487668675</v>
      </c>
    </row>
    <row r="26" customFormat="false" ht="15" hidden="false" customHeight="false" outlineLevel="0" collapsed="false">
      <c r="A26" s="7" t="s">
        <v>134</v>
      </c>
      <c r="B26" s="11" t="n">
        <f aca="false">IF(B22=0,0,B20/B22)</f>
        <v>0.797503214441561</v>
      </c>
    </row>
    <row r="27" customFormat="false" ht="15" hidden="false" customHeight="false" outlineLevel="0" collapsed="false">
      <c r="A27" s="7" t="s">
        <v>135</v>
      </c>
      <c r="B27" s="24" t="n">
        <f aca="false">B22/Statements!B7</f>
        <v>6.8772438343375</v>
      </c>
    </row>
    <row r="29" customFormat="false" ht="15" hidden="false" customHeight="false" outlineLevel="0" collapsed="false">
      <c r="A29" s="5" t="s">
        <v>136</v>
      </c>
      <c r="B29" s="6"/>
      <c r="C29" s="6"/>
      <c r="D29" s="6"/>
      <c r="E29" s="6"/>
      <c r="F29" s="6"/>
      <c r="G29" s="6"/>
    </row>
    <row r="30" customFormat="false" ht="15" hidden="false" customHeight="false" outlineLevel="0" collapsed="false">
      <c r="A30" s="12" t="s">
        <v>137</v>
      </c>
      <c r="B30" s="13" t="s">
        <v>138</v>
      </c>
      <c r="C30" s="13" t="s">
        <v>139</v>
      </c>
      <c r="D30" s="13" t="s">
        <v>140</v>
      </c>
      <c r="E30" s="13" t="s">
        <v>130</v>
      </c>
      <c r="F30" s="13" t="s">
        <v>133</v>
      </c>
    </row>
    <row r="31" customFormat="false" ht="15" hidden="false" customHeight="false" outlineLevel="0" collapsed="false">
      <c r="A31" s="7" t="s">
        <v>141</v>
      </c>
      <c r="B31" s="25" t="n">
        <f aca="false">Assumptions!B34</f>
        <v>0.09</v>
      </c>
      <c r="C31" s="11" t="n">
        <f aca="false">Assumptions!$B$35/B31</f>
        <v>0.333333333333333</v>
      </c>
      <c r="D31" s="17" t="n">
        <f aca="false">IF(Assumptions!$B$34&gt;Assumptions!$B$35,$B$16*(1-C31)/(Assumptions!$B$34-Assumptions!$B$35),0)</f>
        <v>1607.38551792</v>
      </c>
      <c r="E31" s="17" t="n">
        <f aca="false">$B$21+D31*$G$11</f>
        <v>1323.21425196862</v>
      </c>
      <c r="F31" s="17" t="n">
        <f aca="false">E31+$B$23+$B$24</f>
        <v>1023.21425196862</v>
      </c>
    </row>
    <row r="32" customFormat="false" ht="15" hidden="false" customHeight="false" outlineLevel="0" collapsed="false">
      <c r="A32" s="7" t="s">
        <v>142</v>
      </c>
      <c r="B32" s="25" t="n">
        <f aca="false">Assumptions!B36</f>
        <v>0.1</v>
      </c>
      <c r="C32" s="11" t="n">
        <f aca="false">Assumptions!$B$35/B32</f>
        <v>0.3</v>
      </c>
      <c r="D32" s="17" t="n">
        <f aca="false">IF(Assumptions!$B$34&gt;Assumptions!$B$35,$B$16*(1-C32)/(Assumptions!$B$34-Assumptions!$B$35),0)</f>
        <v>1687.754793816</v>
      </c>
      <c r="E32" s="17" t="n">
        <f aca="false">$B$21+D32*$G$11</f>
        <v>1375.4487668675</v>
      </c>
      <c r="F32" s="17" t="n">
        <f aca="false">E32+$B$23+$B$24</f>
        <v>1075.4487668675</v>
      </c>
    </row>
    <row r="33" customFormat="false" ht="15" hidden="false" customHeight="false" outlineLevel="0" collapsed="false">
      <c r="A33" s="7" t="s">
        <v>143</v>
      </c>
      <c r="B33" s="25" t="n">
        <f aca="false">Assumptions!B40</f>
        <v>0.13125</v>
      </c>
      <c r="C33" s="11" t="n">
        <f aca="false">Assumptions!$B$35/B33</f>
        <v>0.228571428571429</v>
      </c>
      <c r="D33" s="17" t="n">
        <f aca="false">IF(Assumptions!$B$34&gt;Assumptions!$B$35,$B$16*(1-C33)/(Assumptions!$B$34-Assumptions!$B$35),0)</f>
        <v>1859.974670736</v>
      </c>
      <c r="E33" s="17" t="n">
        <f aca="false">$B$21+D33*$G$11</f>
        <v>1487.37987022225</v>
      </c>
      <c r="F33" s="17" t="n">
        <f aca="false">E33+$B$23+$B$24</f>
        <v>1187.37987022225</v>
      </c>
    </row>
    <row r="34" customFormat="false" ht="15" hidden="false" customHeight="false" outlineLevel="0" collapsed="false">
      <c r="A34" s="7" t="s">
        <v>144</v>
      </c>
      <c r="B34" s="26" t="s">
        <v>145</v>
      </c>
      <c r="C34" s="11" t="n">
        <v>0</v>
      </c>
      <c r="D34" s="17" t="n">
        <f aca="false">IF(Assumptions!$B$34&gt;Assumptions!$B$35,$B$16*(1-C34)/(Assumptions!$B$34-Assumptions!$B$35),0)</f>
        <v>2411.07827688</v>
      </c>
      <c r="E34" s="17" t="n">
        <f aca="false">$B$21+D34*$G$11</f>
        <v>1845.55940095743</v>
      </c>
      <c r="F34" s="17" t="n">
        <f aca="false">E34+$B$23+$B$24</f>
        <v>1545.55940095743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15" hidden="false" customHeight="false" outlineLevel="0" collapsed="false">
      <c r="A4" s="12" t="s">
        <v>148</v>
      </c>
      <c r="B4" s="27" t="n">
        <v>0.02</v>
      </c>
      <c r="C4" s="27" t="n">
        <v>0.025</v>
      </c>
      <c r="D4" s="27" t="n">
        <v>0.03</v>
      </c>
      <c r="E4" s="27" t="n">
        <v>0.035</v>
      </c>
      <c r="F4" s="27" t="n">
        <v>0.04</v>
      </c>
    </row>
    <row r="5" customFormat="false" ht="15" hidden="false" customHeight="false" outlineLevel="0" collapsed="false">
      <c r="A5" s="28" t="n">
        <v>0.08</v>
      </c>
      <c r="B5" s="17" t="n">
        <f aca="false">IF($A5&lt;=B$4,"n/m",SUMPRODUCT(Valuation!$C$9:$G$9/(1+$A5)^(Valuation!$C$4:$G$4-0.5*Assumptions!$B$38))+Valuation!$G$5*(1+B$4)*(1-B$4/Assumptions!$B$36)/($A5-B$4)/(1+$A5)^(5-0.5*Assumptions!$B$38)+Valuation!$B$23+Valuation!$B$24)</f>
        <v>1286.81937970301</v>
      </c>
      <c r="C5" s="17" t="n">
        <f aca="false">IF($A5&lt;=C$4,"n/m",SUMPRODUCT(Valuation!$C$9:$G$9/(1+$A5)^(Valuation!$C$4:$G$4-0.5*Assumptions!$B$38))+Valuation!$G$5*(1+C$4)*(1-C$4/Assumptions!$B$36)/($A5-C$4)/(1+$A5)^(5-0.5*Assumptions!$B$38)+Valuation!$B$23+Valuation!$B$24)</f>
        <v>1322.8823895117</v>
      </c>
      <c r="D5" s="17" t="n">
        <f aca="false">IF($A5&lt;=D$4,"n/m",SUMPRODUCT(Valuation!$C$9:$G$9/(1+$A5)^(Valuation!$C$4:$G$4-0.5*Assumptions!$B$38))+Valuation!$G$5*(1+D$4)*(1-D$4/Assumptions!$B$36)/($A5-D$4)/(1+$A5)^(5-0.5*Assumptions!$B$38)+Valuation!$B$23+Valuation!$B$24)</f>
        <v>1365.20211427515</v>
      </c>
      <c r="E5" s="17" t="n">
        <f aca="false">IF($A5&lt;=E$4,"n/m",SUMPRODUCT(Valuation!$C$9:$G$9/(1+$A5)^(Valuation!$C$4:$G$4-0.5*Assumptions!$B$38))+Valuation!$G$5*(1+E$4)*(1-E$4/Assumptions!$B$36)/($A5-E$4)/(1+$A5)^(5-0.5*Assumptions!$B$38)+Valuation!$B$23+Valuation!$B$24)</f>
        <v>1415.86412564494</v>
      </c>
      <c r="F5" s="17" t="n">
        <f aca="false">IF($A5&lt;=F$4,"n/m",SUMPRODUCT(Valuation!$C$9:$G$9/(1+$A5)^(Valuation!$C$4:$G$4-0.5*Assumptions!$B$38))+Valuation!$G$5*(1+F$4)*(1-F$4/Assumptions!$B$36)/($A5-F$4)/(1+$A5)^(5-0.5*Assumptions!$B$38)+Valuation!$B$23+Valuation!$B$24)</f>
        <v>1477.99678109847</v>
      </c>
    </row>
    <row r="6" customFormat="false" ht="15" hidden="false" customHeight="false" outlineLevel="0" collapsed="false">
      <c r="A6" s="28" t="n">
        <v>0.09</v>
      </c>
      <c r="B6" s="17" t="n">
        <f aca="false">IF($A6&lt;=B$4,"n/m",SUMPRODUCT(Valuation!$C$9:$G$9/(1+$A6)^(Valuation!$C$4:$G$4-0.5*Assumptions!$B$38))+Valuation!$G$5*(1+B$4)*(1-B$4/Assumptions!$B$36)/($A6-B$4)/(1+$A6)^(5-0.5*Assumptions!$B$38)+Valuation!$B$23+Valuation!$B$24)</f>
        <v>1042.63013267999</v>
      </c>
      <c r="C6" s="17" t="n">
        <f aca="false">IF($A6&lt;=C$4,"n/m",SUMPRODUCT(Valuation!$C$9:$G$9/(1+$A6)^(Valuation!$C$4:$G$4-0.5*Assumptions!$B$38))+Valuation!$G$5*(1+C$4)*(1-C$4/Assumptions!$B$36)/($A6-C$4)/(1+$A6)^(5-0.5*Assumptions!$B$38)+Valuation!$B$23+Valuation!$B$24)</f>
        <v>1058.12828545219</v>
      </c>
      <c r="D6" s="17" t="n">
        <f aca="false">IF($A6&lt;=D$4,"n/m",SUMPRODUCT(Valuation!$C$9:$G$9/(1+$A6)^(Valuation!$C$4:$G$4-0.5*Assumptions!$B$38))+Valuation!$G$5*(1+D$4)*(1-D$4/Assumptions!$B$36)/($A6-D$4)/(1+$A6)^(5-0.5*Assumptions!$B$38)+Valuation!$B$23+Valuation!$B$24)</f>
        <v>1075.4487668675</v>
      </c>
      <c r="E6" s="17" t="n">
        <f aca="false">IF($A6&lt;=E$4,"n/m",SUMPRODUCT(Valuation!$C$9:$G$9/(1+$A6)^(Valuation!$C$4:$G$4-0.5*Assumptions!$B$38))+Valuation!$G$5*(1+E$4)*(1-E$4/Assumptions!$B$36)/($A6-E$4)/(1+$A6)^(5-0.5*Assumptions!$B$38)+Valuation!$B$23+Valuation!$B$24)</f>
        <v>1095.08857564678</v>
      </c>
      <c r="F6" s="17" t="n">
        <f aca="false">IF($A6&lt;=F$4,"n/m",SUMPRODUCT(Valuation!$C$9:$G$9/(1+$A6)^(Valuation!$C$4:$G$4-0.5*Assumptions!$B$38))+Valuation!$G$5*(1+F$4)*(1-F$4/Assumptions!$B$36)/($A6-F$4)/(1+$A6)^(5-0.5*Assumptions!$B$38)+Valuation!$B$23+Valuation!$B$24)</f>
        <v>1117.74350999922</v>
      </c>
    </row>
    <row r="7" customFormat="false" ht="15" hidden="false" customHeight="false" outlineLevel="0" collapsed="false">
      <c r="A7" s="28" t="n">
        <v>0.1</v>
      </c>
      <c r="B7" s="17" t="n">
        <f aca="false">IF($A7&lt;=B$4,"n/m",SUMPRODUCT(Valuation!$C$9:$G$9/(1+$A7)^(Valuation!$C$4:$G$4-0.5*Assumptions!$B$38))+Valuation!$G$5*(1+B$4)*(1-B$4/Assumptions!$B$36)/($A7-B$4)/(1+$A7)^(5-0.5*Assumptions!$B$38)+Valuation!$B$23+Valuation!$B$24)</f>
        <v>860.124122366207</v>
      </c>
      <c r="C7" s="17" t="n">
        <f aca="false">IF($A7&lt;=C$4,"n/m",SUMPRODUCT(Valuation!$C$9:$G$9/(1+$A7)^(Valuation!$C$4:$G$4-0.5*Assumptions!$B$38))+Valuation!$G$5*(1+C$4)*(1-C$4/Assumptions!$B$36)/($A7-C$4)/(1+$A7)^(5-0.5*Assumptions!$B$38)+Valuation!$B$23+Valuation!$B$24)</f>
        <v>864.484578425467</v>
      </c>
      <c r="D7" s="17" t="n">
        <f aca="false">IF($A7&lt;=D$4,"n/m",SUMPRODUCT(Valuation!$C$9:$G$9/(1+$A7)^(Valuation!$C$4:$G$4-0.5*Assumptions!$B$38))+Valuation!$G$5*(1+D$4)*(1-D$4/Assumptions!$B$36)/($A7-D$4)/(1+$A7)^(5-0.5*Assumptions!$B$38)+Valuation!$B$23+Valuation!$B$24)</f>
        <v>868.845034484728</v>
      </c>
      <c r="E7" s="17" t="n">
        <f aca="false">IF($A7&lt;=E$4,"n/m",SUMPRODUCT(Valuation!$C$9:$G$9/(1+$A7)^(Valuation!$C$4:$G$4-0.5*Assumptions!$B$38))+Valuation!$G$5*(1+E$4)*(1-E$4/Assumptions!$B$36)/($A7-E$4)/(1+$A7)^(5-0.5*Assumptions!$B$38)+Valuation!$B$23+Valuation!$B$24)</f>
        <v>873.205490543989</v>
      </c>
      <c r="F7" s="17" t="n">
        <f aca="false">IF($A7&lt;=F$4,"n/m",SUMPRODUCT(Valuation!$C$9:$G$9/(1+$A7)^(Valuation!$C$4:$G$4-0.5*Assumptions!$B$38))+Valuation!$G$5*(1+F$4)*(1-F$4/Assumptions!$B$36)/($A7-F$4)/(1+$A7)^(5-0.5*Assumptions!$B$38)+Valuation!$B$23+Valuation!$B$24)</f>
        <v>877.56594660325</v>
      </c>
    </row>
    <row r="8" customFormat="false" ht="15" hidden="false" customHeight="false" outlineLevel="0" collapsed="false">
      <c r="A8" s="28" t="n">
        <v>0.11</v>
      </c>
      <c r="B8" s="17" t="n">
        <f aca="false">IF($A8&lt;=B$4,"n/m",SUMPRODUCT(Valuation!$C$9:$G$9/(1+$A8)^(Valuation!$C$4:$G$4-0.5*Assumptions!$B$38))+Valuation!$G$5*(1+B$4)*(1-B$4/Assumptions!$B$36)/($A8-B$4)/(1+$A8)^(5-0.5*Assumptions!$B$38)+Valuation!$B$23+Valuation!$B$24)</f>
        <v>718.710280406986</v>
      </c>
      <c r="C8" s="17" t="n">
        <f aca="false">IF($A8&lt;=C$4,"n/m",SUMPRODUCT(Valuation!$C$9:$G$9/(1+$A8)^(Valuation!$C$4:$G$4-0.5*Assumptions!$B$38))+Valuation!$G$5*(1+C$4)*(1-C$4/Assumptions!$B$36)/($A8-C$4)/(1+$A8)^(5-0.5*Assumptions!$B$38)+Valuation!$B$23+Valuation!$B$24)</f>
        <v>716.830798686498</v>
      </c>
      <c r="D8" s="17" t="n">
        <f aca="false">IF($A8&lt;=D$4,"n/m",SUMPRODUCT(Valuation!$C$9:$G$9/(1+$A8)^(Valuation!$C$4:$G$4-0.5*Assumptions!$B$38))+Valuation!$G$5*(1+D$4)*(1-D$4/Assumptions!$B$36)/($A8-D$4)/(1+$A8)^(5-0.5*Assumptions!$B$38)+Valuation!$B$23+Valuation!$B$24)</f>
        <v>714.195438447986</v>
      </c>
      <c r="E8" s="17" t="n">
        <f aca="false">IF($A8&lt;=E$4,"n/m",SUMPRODUCT(Valuation!$C$9:$G$9/(1+$A8)^(Valuation!$C$4:$G$4-0.5*Assumptions!$B$38))+Valuation!$G$5*(1+E$4)*(1-E$4/Assumptions!$B$36)/($A8-E$4)/(1+$A8)^(5-0.5*Assumptions!$B$38)+Valuation!$B$23+Valuation!$B$24)</f>
        <v>710.653023987848</v>
      </c>
      <c r="F8" s="17" t="n">
        <f aca="false">IF($A8&lt;=F$4,"n/m",SUMPRODUCT(Valuation!$C$9:$G$9/(1+$A8)^(Valuation!$C$4:$G$4-0.5*Assumptions!$B$38))+Valuation!$G$5*(1+F$4)*(1-F$4/Assumptions!$B$36)/($A8-F$4)/(1+$A8)^(5-0.5*Assumptions!$B$38)+Valuation!$B$23+Valuation!$B$24)</f>
        <v>706.009186544306</v>
      </c>
    </row>
    <row r="10" customFormat="false" ht="15" hidden="false" customHeight="false" outlineLevel="0" collapsed="false">
      <c r="A10" s="2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1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12" t="s">
        <v>152</v>
      </c>
      <c r="B4" s="13" t="s">
        <v>56</v>
      </c>
      <c r="C4" s="13" t="s">
        <v>57</v>
      </c>
      <c r="D4" s="13" t="s">
        <v>58</v>
      </c>
      <c r="E4" s="13" t="s">
        <v>59</v>
      </c>
      <c r="F4" s="13" t="s">
        <v>60</v>
      </c>
      <c r="G4" s="13"/>
      <c r="H4" s="13" t="s">
        <v>153</v>
      </c>
      <c r="I4" s="13" t="s">
        <v>154</v>
      </c>
    </row>
    <row r="5" customFormat="false" ht="15" hidden="false" customHeight="false" outlineLevel="0" collapsed="false">
      <c r="A5" s="7" t="s">
        <v>155</v>
      </c>
      <c r="B5" s="29" t="n">
        <f aca="false">Statements!C23-Statements!C27</f>
        <v>0</v>
      </c>
      <c r="C5" s="29" t="n">
        <f aca="false">Statements!D23-Statements!D27</f>
        <v>0</v>
      </c>
      <c r="D5" s="29" t="n">
        <f aca="false">Statements!E23-Statements!E27</f>
        <v>0</v>
      </c>
      <c r="E5" s="29" t="n">
        <f aca="false">Statements!F23-Statements!F27</f>
        <v>0</v>
      </c>
      <c r="F5" s="29" t="n">
        <f aca="false">Statements!G23-Statements!G27</f>
        <v>0</v>
      </c>
      <c r="H5" s="30" t="str">
        <f aca="false">IF(MAX(ABS(B5),ABS(C5),ABS(D5),ABS(E5),ABS(F5))&lt;0.01,"PASS","FAIL")</f>
        <v>PASS</v>
      </c>
      <c r="I5" s="2" t="s">
        <v>156</v>
      </c>
    </row>
    <row r="6" customFormat="false" ht="15" hidden="false" customHeight="false" outlineLevel="0" collapsed="false">
      <c r="A6" s="7" t="s">
        <v>157</v>
      </c>
      <c r="B6" s="29" t="n">
        <f aca="false">Statements!C39-Statements!C40</f>
        <v>1.66977542903624E-013</v>
      </c>
      <c r="C6" s="29" t="n">
        <f aca="false">Statements!D39-Statements!D40</f>
        <v>-1.84741111297626E-013</v>
      </c>
      <c r="D6" s="29" t="n">
        <f aca="false">Statements!E39-Statements!E40</f>
        <v>2.20268248085631E-013</v>
      </c>
      <c r="E6" s="29" t="n">
        <f aca="false">Statements!F39-Statements!F40</f>
        <v>-3.12638803734444E-013</v>
      </c>
      <c r="F6" s="29" t="n">
        <f aca="false">Statements!G39-Statements!G40</f>
        <v>0</v>
      </c>
      <c r="H6" s="30" t="str">
        <f aca="false">IF(MAX(ABS(B6),ABS(C6),ABS(D6),ABS(E6),ABS(F6))&lt;0.01,"PASS","FAIL")</f>
        <v>PASS</v>
      </c>
      <c r="I6" s="2" t="s">
        <v>158</v>
      </c>
    </row>
    <row r="7" customFormat="false" ht="15" hidden="false" customHeight="false" outlineLevel="0" collapsed="false">
      <c r="A7" s="7" t="s">
        <v>159</v>
      </c>
      <c r="B7" s="21" t="n">
        <f aca="false">Statements!C18</f>
        <v>100.68</v>
      </c>
      <c r="C7" s="21" t="n">
        <f aca="false">Statements!D18</f>
        <v>110.4366</v>
      </c>
      <c r="D7" s="21" t="n">
        <f aca="false">Statements!E18</f>
        <v>130.300596</v>
      </c>
      <c r="E7" s="21" t="n">
        <f aca="false">Statements!F18</f>
        <v>161.1375918</v>
      </c>
      <c r="F7" s="21" t="n">
        <f aca="false">Statements!G18</f>
        <v>203.595555432</v>
      </c>
      <c r="H7" s="30" t="str">
        <f aca="false">IF(MIN(B7:F7)&gt;=0,"PASS","FAIL")</f>
        <v>PASS</v>
      </c>
      <c r="I7" s="2" t="s">
        <v>160</v>
      </c>
    </row>
    <row r="8" customFormat="false" ht="15" hidden="false" customHeight="false" outlineLevel="0" collapsed="false">
      <c r="A8" s="7" t="s">
        <v>161</v>
      </c>
      <c r="B8" s="11" t="n">
        <f aca="false">Valuation!C5/(Statements!B9*(1-Assumptions!$B$16))-1</f>
        <v>0.0799999999999999</v>
      </c>
      <c r="C8" s="11" t="n">
        <f aca="false">Valuation!D5/Valuation!C5-1</f>
        <v>0.0700000000000001</v>
      </c>
      <c r="D8" s="11" t="n">
        <f aca="false">Valuation!E5/Valuation!D5-1</f>
        <v>0.0600000000000001</v>
      </c>
      <c r="E8" s="11" t="n">
        <f aca="false">Valuation!F5/Valuation!E5-1</f>
        <v>0.0500000000000003</v>
      </c>
      <c r="F8" s="11" t="n">
        <f aca="false">Valuation!G5/Valuation!F5-1</f>
        <v>0.04</v>
      </c>
      <c r="H8" s="30"/>
      <c r="I8" s="2" t="s">
        <v>162</v>
      </c>
    </row>
    <row r="9" customFormat="false" ht="15" hidden="false" customHeight="false" outlineLevel="0" collapsed="false">
      <c r="A9" s="7" t="s">
        <v>163</v>
      </c>
      <c r="B9" s="11" t="n">
        <f aca="false">Valuation!C10/(Statements!B9*(1-Assumptions!$B$16))*Assumptions!$B$40</f>
        <v>0.08</v>
      </c>
      <c r="C9" s="11" t="n">
        <f aca="false">Valuation!D10/Valuation!C5*Assumptions!$B$40</f>
        <v>0.0700000000000001</v>
      </c>
      <c r="D9" s="11" t="n">
        <f aca="false">Valuation!E10/Valuation!D5*Assumptions!$B$40</f>
        <v>0.06</v>
      </c>
      <c r="E9" s="11" t="n">
        <f aca="false">Valuation!F10/Valuation!E5*Assumptions!$B$40</f>
        <v>0.0500000000000001</v>
      </c>
      <c r="F9" s="11" t="n">
        <f aca="false">Valuation!G10/Valuation!F5*Assumptions!$B$40</f>
        <v>0.0399999999999999</v>
      </c>
      <c r="H9" s="30" t="str">
        <f aca="false">IF(MAX(ABS(B9-B8),ABS(C9-C8),ABS(D9-D8),ABS(E9-E8),ABS(F9-F8))&lt;0.0005,"PASS","FAIL")</f>
        <v>PASS</v>
      </c>
      <c r="I9" s="2" t="s">
        <v>164</v>
      </c>
    </row>
    <row r="11" customFormat="false" ht="15" hidden="false" customHeight="false" outlineLevel="0" collapsed="false">
      <c r="A11" s="14" t="s">
        <v>165</v>
      </c>
    </row>
    <row r="12" customFormat="false" ht="15" hidden="false" customHeight="false" outlineLevel="0" collapsed="false">
      <c r="A12" s="7" t="s">
        <v>166</v>
      </c>
      <c r="H12" s="30" t="str">
        <f aca="false">IF(Assumptions!B35&lt;=Assumptions!B37,"PASS","FAIL")</f>
        <v>PASS</v>
      </c>
      <c r="I12" s="2" t="s">
        <v>167</v>
      </c>
    </row>
    <row r="13" customFormat="false" ht="15" hidden="false" customHeight="false" outlineLevel="0" collapsed="false">
      <c r="A13" s="7" t="s">
        <v>168</v>
      </c>
      <c r="H13" s="30" t="str">
        <f aca="false">IF(Assumptions!B34&gt;Assumptions!B35,"PASS","FAIL")</f>
        <v>PASS</v>
      </c>
      <c r="I13" s="2" t="s">
        <v>169</v>
      </c>
    </row>
    <row r="14" customFormat="false" ht="15" hidden="false" customHeight="false" outlineLevel="0" collapsed="false">
      <c r="A14" s="7" t="s">
        <v>170</v>
      </c>
      <c r="H14" s="30" t="str">
        <f aca="false">IF(Assumptions!B36&gt;=Assumptions!B34,"PASS","FAIL")</f>
        <v>PASS</v>
      </c>
      <c r="I14" s="2" t="s">
        <v>171</v>
      </c>
    </row>
    <row r="15" customFormat="false" ht="15" hidden="false" customHeight="false" outlineLevel="0" collapsed="false">
      <c r="A15" s="7" t="s">
        <v>172</v>
      </c>
      <c r="H15" s="30" t="str">
        <f aca="false">IF(Valuation!B26&lt;0.9,"PASS","FAIL")</f>
        <v>PASS</v>
      </c>
      <c r="I15" s="2" t="s">
        <v>173</v>
      </c>
    </row>
    <row r="17" customFormat="false" ht="15" hidden="false" customHeight="false" outlineLevel="0" collapsed="false">
      <c r="A17" s="14" t="s">
        <v>174</v>
      </c>
      <c r="H17" s="30" t="str">
        <f aca="false">IF(COUNTIF(H5:H15,"FAIL")=0,"ALL PASS",COUNTIF(H5:H15,"FAIL")&amp;" FAIL")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2026-10-30T01:46:26Z</dcterms:created>
  <dc:creator>openpyxl</dc:creator>
  <dc:description/>
  <dc:language>en-US</dc:language>
  <cp:lastModifiedBy/>
  <dcterms:modified xsi:type="dcterms:W3CDTF">2026-10-30T01:46:26Z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