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DCF" sheetId="2" state="visible" r:id="rId4"/>
    <sheet name="Sensitivity" sheetId="3" state="visible" r:id="rId5"/>
    <sheet name="ReverseDCF" sheetId="4" state="visible" r:id="rId6"/>
    <sheet name="Chec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<sst xmlns="http://schemas.openxmlformats.org/spreadsheetml/2006/main" count="148" uniqueCount="141">
  <si>
    <t xml:space="preserve">Example Co. DCF Workbook: Inputs</t>
  </si>
  <si>
    <t xml:space="preserve">Companion to the Discounted Cash Flow Valuation chapter. $ millions except per-share. Example Co. figures are invented for teaching.</t>
  </si>
  <si>
    <t xml:space="preserve">Legend: blue text = input you may change (yellow fill = key assumption); black = formula; green = link from another sheet.</t>
  </si>
  <si>
    <t xml:space="preserve">Input</t>
  </si>
  <si>
    <t xml:space="preserve">Value</t>
  </si>
  <si>
    <t xml:space="preserve">Source / note</t>
  </si>
  <si>
    <t xml:space="preserve">Base-year revenue</t>
  </si>
  <si>
    <t xml:space="preserve">From the Financial Statements chapter (Example Co.)</t>
  </si>
  <si>
    <t xml:space="preserve">Operating margin (EBIT / revenue)</t>
  </si>
  <si>
    <t xml:space="preserve">150 / 1,000; held constant in the forecast</t>
  </si>
  <si>
    <t xml:space="preserve">Tax rate</t>
  </si>
  <si>
    <t xml:space="preserve">Marginal and effective rate assumed equal for teaching</t>
  </si>
  <si>
    <t xml:space="preserve">Sales-to-invested-capital (incremental)</t>
  </si>
  <si>
    <t xml:space="preserve">Base year is 1,000 / 900 = 1.11; reinvestment = change in revenue / this ratio</t>
  </si>
  <si>
    <t xml:space="preserve">Cash</t>
  </si>
  <si>
    <t xml:space="preserve">Base-year balance sheet</t>
  </si>
  <si>
    <t xml:space="preserve">Debt (book value as proxy for market value)</t>
  </si>
  <si>
    <t xml:space="preserve">Shares outstanding (millions)</t>
  </si>
  <si>
    <t xml:space="preserve">Assumed for teaching; Example Co. has no reported share count</t>
  </si>
  <si>
    <t xml:space="preserve">Risk-free rate</t>
  </si>
  <si>
    <t xml:space="preserve">ASSUMED for teaching, not current market data; check the current Treasury yield</t>
  </si>
  <si>
    <t xml:space="preserve">Beta (relevered bottom-up)</t>
  </si>
  <si>
    <t xml:space="preserve">ASSUMED industry beta, relevered</t>
  </si>
  <si>
    <t xml:space="preserve">Equity risk premium</t>
  </si>
  <si>
    <t xml:space="preserve">ASSUMED for teaching; check the current implied premium</t>
  </si>
  <si>
    <t xml:space="preserve">Pre-tax cost of debt</t>
  </si>
  <si>
    <t xml:space="preserve">ASSUMED current long-term rate for the firm's rating</t>
  </si>
  <si>
    <t xml:space="preserve">Target debt weight, D/(D+E)</t>
  </si>
  <si>
    <t xml:space="preserve">Target, not today's book ratio</t>
  </si>
  <si>
    <t xml:space="preserve">Terminal growth rate</t>
  </si>
  <si>
    <t xml:space="preserve">Must not exceed the risk-free rate (Check sheet tests this)</t>
  </si>
  <si>
    <t xml:space="preserve">Terminal ROIC</t>
  </si>
  <si>
    <t xml:space="preserve">Marginal ROIC in the forecast is about 11.6%, fading toward WACC</t>
  </si>
  <si>
    <t xml:space="preserve">Assumed market price per share ($)</t>
  </si>
  <si>
    <t xml:space="preserve">ILLUSTRATIVE price used by the reverse DCF; Example Co. is not traded</t>
  </si>
  <si>
    <t xml:space="preserve">Cost of capital (formulas)</t>
  </si>
  <si>
    <t xml:space="preserve">Cost of equity = Rf + Beta x ERP</t>
  </si>
  <si>
    <t xml:space="preserve">After-tax cost of debt = Kd x (1 - tax)</t>
  </si>
  <si>
    <t xml:space="preserve">WACC</t>
  </si>
  <si>
    <t xml:space="preserve">Weights are the target weights in B16</t>
  </si>
  <si>
    <t xml:space="preserve">Example Co.: Ten-Year FCFF Valuation</t>
  </si>
  <si>
    <t xml:space="preserve">End-of-year discounting in column B of the valuation block; mid-year shown in column C. $ millions.</t>
  </si>
  <si>
    <t xml:space="preserve">Year</t>
  </si>
  <si>
    <t xml:space="preserve">Revenue growth</t>
  </si>
  <si>
    <t xml:space="preserve">Revenue</t>
  </si>
  <si>
    <t xml:space="preserve">EBIT</t>
  </si>
  <si>
    <t xml:space="preserve">NOPAT = EBIT x (1 - tax)</t>
  </si>
  <si>
    <t xml:space="preserve">Reinvestment = change in revenue / sales-to-capital</t>
  </si>
  <si>
    <t xml:space="preserve">FCFF = NOPAT - reinvestment</t>
  </si>
  <si>
    <t xml:space="preserve">Discount factor at WACC</t>
  </si>
  <si>
    <t xml:space="preserve">PV of FCFF</t>
  </si>
  <si>
    <t xml:space="preserve">WACC used</t>
  </si>
  <si>
    <t xml:space="preserve">Terminal value (end of year 10)</t>
  </si>
  <si>
    <t xml:space="preserve">Stable growth, g</t>
  </si>
  <si>
    <t xml:space="preserve">Terminal reinvestment rate = g / ROIC</t>
  </si>
  <si>
    <t xml:space="preserve">Year-11 NOPAT = year-10 NOPAT x (1 + g)</t>
  </si>
  <si>
    <t xml:space="preserve">Year-11 FCFF = NOPAT x (1 - reinvestment rate)</t>
  </si>
  <si>
    <t xml:space="preserve">Terminal value = FCFF11 / (WACC - g)</t>
  </si>
  <si>
    <t xml:space="preserve">PV of terminal value</t>
  </si>
  <si>
    <t xml:space="preserve">Valuation</t>
  </si>
  <si>
    <t xml:space="preserve">End-of-year</t>
  </si>
  <si>
    <t xml:space="preserve">Mid-year</t>
  </si>
  <si>
    <t xml:space="preserve">PV of FCFF, years 1-5</t>
  </si>
  <si>
    <t xml:space="preserve">PV of FCFF, years 6-10</t>
  </si>
  <si>
    <t xml:space="preserve">Enterprise value (operating assets)</t>
  </si>
  <si>
    <t xml:space="preserve">+ Cash</t>
  </si>
  <si>
    <t xml:space="preserve">- Debt</t>
  </si>
  <si>
    <t xml:space="preserve">Equity value</t>
  </si>
  <si>
    <t xml:space="preserve">Value per share ($)</t>
  </si>
  <si>
    <t xml:space="preserve">Cross-checks</t>
  </si>
  <si>
    <t xml:space="preserve">Terminal value as % of enterprise value</t>
  </si>
  <si>
    <t xml:space="preserve">Enterprise value / base-year EBIT</t>
  </si>
  <si>
    <t xml:space="preserve">Enterprise value / base-year NOPAT</t>
  </si>
  <si>
    <t xml:space="preserve">Equity value / book equity (600)</t>
  </si>
  <si>
    <t xml:space="preserve">Book equity of 600 from the Financial Statements chapter</t>
  </si>
  <si>
    <t xml:space="preserve">Year-10 reinvestment rate (compare with terminal)</t>
  </si>
  <si>
    <t xml:space="preserve">Mid-year uplift to enterprise value</t>
  </si>
  <si>
    <t xml:space="preserve">Sensitivity Tables (plain formulas, no Excel data tables)</t>
  </si>
  <si>
    <t xml:space="preserve">Each cell recomputes value per share. "nmf" = not meaningful (WACC does not exceed growth).</t>
  </si>
  <si>
    <t xml:space="preserve">Table 1. Value per share ($): WACC (rows) by terminal growth (columns); reinvestment = g / terminal ROIC</t>
  </si>
  <si>
    <t xml:space="preserve">WACC \ g</t>
  </si>
  <si>
    <t xml:space="preserve">Terminal growth of 4% equals the assumed risk-free rate, the practical ceiling.</t>
  </si>
  <si>
    <t xml:space="preserve">Table 2. Terminal value ($ millions) by growth and terminal ROIC, holding year-11 NOPAT at the base-case figure</t>
  </si>
  <si>
    <t xml:space="preserve">g \ ROIC</t>
  </si>
  <si>
    <t xml:space="preserve">With ROIC = WACC (first column) growth adds no value; the higher the ROIC, the more growth adds.</t>
  </si>
  <si>
    <t xml:space="preserve">Table 3. Value per share ($): simple template (grow year-10 FCFF at g) vs reinvestment-consistent method</t>
  </si>
  <si>
    <t xml:space="preserve">Terminal growth</t>
  </si>
  <si>
    <t xml:space="preserve">Consistent reinvestment rate</t>
  </si>
  <si>
    <t xml:space="preserve">Simple template</t>
  </si>
  <si>
    <t xml:space="preserve">Consistent method</t>
  </si>
  <si>
    <t xml:space="preserve">The simple template holds reinvestment at its year-10 level whatever g is, so it undervalues at low g and overvalues at high g.</t>
  </si>
  <si>
    <t xml:space="preserve">Reverse DCF: What Growth Does the Price Imply?</t>
  </si>
  <si>
    <t xml:space="preserve">Years 1-5 revenue growth is the row input; growth then fades in a straight line to the terminal rate by year 10. All else follows the Inputs sheet.</t>
  </si>
  <si>
    <t xml:space="preserve">Assumed market price ($)</t>
  </si>
  <si>
    <t xml:space="preserve">Implied years 1-5 growth (interpolated)</t>
  </si>
  <si>
    <t xml:space="preserve">Exact answer: Data &gt; What-If Analysis &gt; Goal Seek. Set DCF!B32 (value per share) to the price by changing one growth cell, or set it by changing the risk-free rate (Inputs!B12) to see the implied discount rate.</t>
  </si>
  <si>
    <t xml:space="preserve">Starting growth</t>
  </si>
  <si>
    <t xml:space="preserve">Growth y1</t>
  </si>
  <si>
    <t xml:space="preserve">Growth y2</t>
  </si>
  <si>
    <t xml:space="preserve">Growth y3</t>
  </si>
  <si>
    <t xml:space="preserve">Growth y4</t>
  </si>
  <si>
    <t xml:space="preserve">Growth y5</t>
  </si>
  <si>
    <t xml:space="preserve">Growth y6</t>
  </si>
  <si>
    <t xml:space="preserve">Growth y7</t>
  </si>
  <si>
    <t xml:space="preserve">Growth y8</t>
  </si>
  <si>
    <t xml:space="preserve">Growth y9</t>
  </si>
  <si>
    <t xml:space="preserve">Growth y10</t>
  </si>
  <si>
    <t xml:space="preserve">Revenue y1</t>
  </si>
  <si>
    <t xml:space="preserve">Revenue y2</t>
  </si>
  <si>
    <t xml:space="preserve">Revenue y3</t>
  </si>
  <si>
    <t xml:space="preserve">Revenue y4</t>
  </si>
  <si>
    <t xml:space="preserve">Revenue y5</t>
  </si>
  <si>
    <t xml:space="preserve">Revenue y6</t>
  </si>
  <si>
    <t xml:space="preserve">Revenue y7</t>
  </si>
  <si>
    <t xml:space="preserve">Revenue y8</t>
  </si>
  <si>
    <t xml:space="preserve">Revenue y9</t>
  </si>
  <si>
    <t xml:space="preserve">Revenue y10</t>
  </si>
  <si>
    <t xml:space="preserve">FCFF y1</t>
  </si>
  <si>
    <t xml:space="preserve">FCFF y2</t>
  </si>
  <si>
    <t xml:space="preserve">FCFF y3</t>
  </si>
  <si>
    <t xml:space="preserve">FCFF y4</t>
  </si>
  <si>
    <t xml:space="preserve">FCFF y5</t>
  </si>
  <si>
    <t xml:space="preserve">FCFF y6</t>
  </si>
  <si>
    <t xml:space="preserve">FCFF y7</t>
  </si>
  <si>
    <t xml:space="preserve">FCFF y8</t>
  </si>
  <si>
    <t xml:space="preserve">FCFF y9</t>
  </si>
  <si>
    <t xml:space="preserve">FCFF y10</t>
  </si>
  <si>
    <t xml:space="preserve">Reading the result: compare the implied growth with the base case (8%) and ask whether a firm with these margins and capital needs can deliver it.</t>
  </si>
  <si>
    <t xml:space="preserve">Integrity Checks</t>
  </si>
  <si>
    <t xml:space="preserve">Check</t>
  </si>
  <si>
    <t xml:space="preserve">Result</t>
  </si>
  <si>
    <t xml:space="preserve">Terminal growth is below WACC</t>
  </si>
  <si>
    <t xml:space="preserve">Terminal growth does not exceed the risk-free rate</t>
  </si>
  <si>
    <t xml:space="preserve">Terminal ROIC is at least WACC (no value-destroying growth)</t>
  </si>
  <si>
    <t xml:space="preserve">Components sum to enterprise value</t>
  </si>
  <si>
    <t xml:space="preserve">Sensitivity base cell equals DCF value per share</t>
  </si>
  <si>
    <t xml:space="preserve">Reverse-DCF 8% row equals DCF value per share (base growth path)</t>
  </si>
  <si>
    <t xml:space="preserve">Year-10 growth equals terminal growth (smooth fade)</t>
  </si>
  <si>
    <t xml:space="preserve">Value per share matches the chapter ($15.28) at the default inputs</t>
  </si>
  <si>
    <t xml:space="preserve">OVERALL</t>
  </si>
  <si>
    <t xml:space="preserve">The chapter-value check (row 11) is informational and is excluded from the overall result because changing an input changes it by design.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</si>
</sst>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0.00"/>
    <numFmt numFmtId="168" formatCode="\$#,##0.00"/>
    <numFmt numFmtId="169" formatCode="0.00%"/>
    <numFmt numFmtId="170" formatCode="0"/>
    <numFmt numFmtId="171" formatCode="#,##0.0;\(#,##0.0\);\-"/>
    <numFmt numFmtId="172" formatCode="0.000"/>
    <numFmt numFmtId="173" formatCode="0.0\x"/>
    <numFmt numFmtId="174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  <c r="C4" s="3" t="s">
        <v>5</v>
      </c>
    </row>
    <row r="5" customFormat="false" ht="15" hidden="false" customHeight="false" outlineLevel="0" collapsed="false">
      <c r="A5" s="4" t="s">
        <v>6</v>
      </c>
      <c r="B5" s="5" t="n">
        <v>1000</v>
      </c>
      <c r="C5" s="2" t="s">
        <v>7</v>
      </c>
    </row>
    <row r="6" customFormat="false" ht="15" hidden="false" customHeight="false" outlineLevel="0" collapsed="false">
      <c r="A6" s="4" t="s">
        <v>8</v>
      </c>
      <c r="B6" s="6" t="n">
        <v>0.15</v>
      </c>
      <c r="C6" s="2" t="s">
        <v>9</v>
      </c>
    </row>
    <row r="7" customFormat="false" ht="15" hidden="false" customHeight="false" outlineLevel="0" collapsed="false">
      <c r="A7" s="4" t="s">
        <v>10</v>
      </c>
      <c r="B7" s="7" t="n">
        <v>0.3</v>
      </c>
      <c r="C7" s="2" t="s">
        <v>11</v>
      </c>
    </row>
    <row r="8" customFormat="false" ht="15" hidden="false" customHeight="false" outlineLevel="0" collapsed="false">
      <c r="A8" s="4" t="s">
        <v>12</v>
      </c>
      <c r="B8" s="8" t="n">
        <v>1.1</v>
      </c>
      <c r="C8" s="2" t="s">
        <v>13</v>
      </c>
    </row>
    <row r="9" customFormat="false" ht="15" hidden="false" customHeight="false" outlineLevel="0" collapsed="false">
      <c r="A9" s="4" t="s">
        <v>14</v>
      </c>
      <c r="B9" s="5" t="n">
        <v>100</v>
      </c>
      <c r="C9" s="2" t="s">
        <v>15</v>
      </c>
    </row>
    <row r="10" customFormat="false" ht="15" hidden="false" customHeight="false" outlineLevel="0" collapsed="false">
      <c r="A10" s="4" t="s">
        <v>16</v>
      </c>
      <c r="B10" s="5" t="n">
        <v>400</v>
      </c>
      <c r="C10" s="2" t="s">
        <v>15</v>
      </c>
    </row>
    <row r="11" customFormat="false" ht="15" hidden="false" customHeight="false" outlineLevel="0" collapsed="false">
      <c r="A11" s="4" t="s">
        <v>17</v>
      </c>
      <c r="B11" s="5" t="n">
        <v>100</v>
      </c>
      <c r="C11" s="2" t="s">
        <v>18</v>
      </c>
    </row>
    <row r="12" customFormat="false" ht="15" hidden="false" customHeight="false" outlineLevel="0" collapsed="false">
      <c r="A12" s="4" t="s">
        <v>19</v>
      </c>
      <c r="B12" s="6" t="n">
        <v>0.04</v>
      </c>
      <c r="C12" s="2" t="s">
        <v>20</v>
      </c>
    </row>
    <row r="13" customFormat="false" ht="15" hidden="false" customHeight="false" outlineLevel="0" collapsed="false">
      <c r="A13" s="4" t="s">
        <v>21</v>
      </c>
      <c r="B13" s="8" t="n">
        <v>1.1</v>
      </c>
      <c r="C13" s="2" t="s">
        <v>22</v>
      </c>
    </row>
    <row r="14" customFormat="false" ht="15" hidden="false" customHeight="false" outlineLevel="0" collapsed="false">
      <c r="A14" s="4" t="s">
        <v>23</v>
      </c>
      <c r="B14" s="6" t="n">
        <v>0.05</v>
      </c>
      <c r="C14" s="2" t="s">
        <v>24</v>
      </c>
    </row>
    <row r="15" customFormat="false" ht="15" hidden="false" customHeight="false" outlineLevel="0" collapsed="false">
      <c r="A15" s="4" t="s">
        <v>25</v>
      </c>
      <c r="B15" s="7" t="n">
        <v>0.06</v>
      </c>
      <c r="C15" s="2" t="s">
        <v>26</v>
      </c>
    </row>
    <row r="16" customFormat="false" ht="15" hidden="false" customHeight="false" outlineLevel="0" collapsed="false">
      <c r="A16" s="4" t="s">
        <v>27</v>
      </c>
      <c r="B16" s="6" t="n">
        <v>0.3</v>
      </c>
      <c r="C16" s="2" t="s">
        <v>28</v>
      </c>
    </row>
    <row r="17" customFormat="false" ht="15" hidden="false" customHeight="false" outlineLevel="0" collapsed="false">
      <c r="A17" s="4" t="s">
        <v>29</v>
      </c>
      <c r="B17" s="6" t="n">
        <v>0.03</v>
      </c>
      <c r="C17" s="2" t="s">
        <v>30</v>
      </c>
    </row>
    <row r="18" customFormat="false" ht="15" hidden="false" customHeight="false" outlineLevel="0" collapsed="false">
      <c r="A18" s="4" t="s">
        <v>31</v>
      </c>
      <c r="B18" s="6" t="n">
        <v>0.1</v>
      </c>
      <c r="C18" s="2" t="s">
        <v>32</v>
      </c>
    </row>
    <row r="19" customFormat="false" ht="15" hidden="false" customHeight="false" outlineLevel="0" collapsed="false">
      <c r="A19" s="4" t="s">
        <v>33</v>
      </c>
      <c r="B19" s="9" t="n">
        <v>18</v>
      </c>
      <c r="C19" s="2" t="s">
        <v>34</v>
      </c>
    </row>
    <row r="21" customFormat="false" ht="15" hidden="false" customHeight="false" outlineLevel="0" collapsed="false">
      <c r="A21" s="3" t="s">
        <v>35</v>
      </c>
      <c r="B21" s="3"/>
      <c r="C21" s="3"/>
    </row>
    <row r="22" customFormat="false" ht="15" hidden="false" customHeight="false" outlineLevel="0" collapsed="false">
      <c r="A22" s="4" t="s">
        <v>36</v>
      </c>
      <c r="B22" s="10" t="n">
        <f aca="false">B12+B13*B14</f>
        <v>0.095</v>
      </c>
    </row>
    <row r="23" customFormat="false" ht="15" hidden="false" customHeight="false" outlineLevel="0" collapsed="false">
      <c r="A23" s="4" t="s">
        <v>37</v>
      </c>
      <c r="B23" s="10" t="n">
        <f aca="false">B15*(1-B7)</f>
        <v>0.042</v>
      </c>
    </row>
    <row r="24" customFormat="false" ht="15" hidden="false" customHeight="false" outlineLevel="0" collapsed="false">
      <c r="A24" s="11" t="s">
        <v>38</v>
      </c>
      <c r="B24" s="12" t="n">
        <f aca="false">(1-B16)*B22+B16*B23</f>
        <v>0.0791</v>
      </c>
      <c r="C24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2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3" customFormat="false" ht="15" hidden="false" customHeight="false" outlineLevel="0" collapsed="false">
      <c r="A3" s="3" t="s">
        <v>42</v>
      </c>
      <c r="B3" s="13" t="n">
        <v>0</v>
      </c>
      <c r="C3" s="13" t="n">
        <v>1</v>
      </c>
      <c r="D3" s="13" t="n">
        <v>2</v>
      </c>
      <c r="E3" s="13" t="n">
        <v>3</v>
      </c>
      <c r="F3" s="13" t="n">
        <v>4</v>
      </c>
      <c r="G3" s="13" t="n">
        <v>5</v>
      </c>
      <c r="H3" s="13" t="n">
        <v>6</v>
      </c>
      <c r="I3" s="13" t="n">
        <v>7</v>
      </c>
      <c r="J3" s="13" t="n">
        <v>8</v>
      </c>
      <c r="K3" s="13" t="n">
        <v>9</v>
      </c>
      <c r="L3" s="13" t="n">
        <v>10</v>
      </c>
    </row>
    <row r="4" customFormat="false" ht="15" hidden="false" customHeight="false" outlineLevel="0" collapsed="false">
      <c r="A4" s="4" t="s">
        <v>43</v>
      </c>
      <c r="C4" s="6" t="n">
        <v>0.08</v>
      </c>
      <c r="D4" s="6" t="n">
        <v>0.08</v>
      </c>
      <c r="E4" s="6" t="n">
        <v>0.08</v>
      </c>
      <c r="F4" s="6" t="n">
        <v>0.08</v>
      </c>
      <c r="G4" s="6" t="n">
        <v>0.08</v>
      </c>
      <c r="H4" s="6" t="n">
        <v>0.07</v>
      </c>
      <c r="I4" s="6" t="n">
        <v>0.06</v>
      </c>
      <c r="J4" s="6" t="n">
        <v>0.05</v>
      </c>
      <c r="K4" s="6" t="n">
        <v>0.04</v>
      </c>
      <c r="L4" s="6" t="n">
        <v>0.03</v>
      </c>
    </row>
    <row r="5" customFormat="false" ht="15" hidden="false" customHeight="false" outlineLevel="0" collapsed="false">
      <c r="A5" s="4" t="s">
        <v>44</v>
      </c>
      <c r="B5" s="14" t="n">
        <f aca="false">Inputs!B5</f>
        <v>1000</v>
      </c>
      <c r="C5" s="15" t="n">
        <f aca="false">B5*(1+C4)</f>
        <v>1080</v>
      </c>
      <c r="D5" s="15" t="n">
        <f aca="false">C5*(1+D4)</f>
        <v>1166.4</v>
      </c>
      <c r="E5" s="15" t="n">
        <f aca="false">D5*(1+E4)</f>
        <v>1259.712</v>
      </c>
      <c r="F5" s="15" t="n">
        <f aca="false">E5*(1+F4)</f>
        <v>1360.48896</v>
      </c>
      <c r="G5" s="15" t="n">
        <f aca="false">F5*(1+G4)</f>
        <v>1469.3280768</v>
      </c>
      <c r="H5" s="15" t="n">
        <f aca="false">G5*(1+H4)</f>
        <v>1572.181042176</v>
      </c>
      <c r="I5" s="15" t="n">
        <f aca="false">H5*(1+I4)</f>
        <v>1666.51190470656</v>
      </c>
      <c r="J5" s="15" t="n">
        <f aca="false">I5*(1+J4)</f>
        <v>1749.83749994189</v>
      </c>
      <c r="K5" s="15" t="n">
        <f aca="false">J5*(1+K4)</f>
        <v>1819.83099993956</v>
      </c>
      <c r="L5" s="15" t="n">
        <f aca="false">K5*(1+L4)</f>
        <v>1874.42592993775</v>
      </c>
    </row>
    <row r="6" customFormat="false" ht="15" hidden="false" customHeight="false" outlineLevel="0" collapsed="false">
      <c r="A6" s="4" t="s">
        <v>45</v>
      </c>
      <c r="B6" s="15" t="n">
        <f aca="false">B5*Inputs!$B$6</f>
        <v>150</v>
      </c>
      <c r="C6" s="15" t="n">
        <f aca="false">C5*Inputs!$B$6</f>
        <v>162</v>
      </c>
      <c r="D6" s="15" t="n">
        <f aca="false">D5*Inputs!$B$6</f>
        <v>174.96</v>
      </c>
      <c r="E6" s="15" t="n">
        <f aca="false">E5*Inputs!$B$6</f>
        <v>188.9568</v>
      </c>
      <c r="F6" s="15" t="n">
        <f aca="false">F5*Inputs!$B$6</f>
        <v>204.073344</v>
      </c>
      <c r="G6" s="15" t="n">
        <f aca="false">G5*Inputs!$B$6</f>
        <v>220.39921152</v>
      </c>
      <c r="H6" s="15" t="n">
        <f aca="false">H5*Inputs!$B$6</f>
        <v>235.8271563264</v>
      </c>
      <c r="I6" s="15" t="n">
        <f aca="false">I5*Inputs!$B$6</f>
        <v>249.976785705984</v>
      </c>
      <c r="J6" s="15" t="n">
        <f aca="false">J5*Inputs!$B$6</f>
        <v>262.475624991283</v>
      </c>
      <c r="K6" s="15" t="n">
        <f aca="false">K5*Inputs!$B$6</f>
        <v>272.974649990935</v>
      </c>
      <c r="L6" s="15" t="n">
        <f aca="false">L5*Inputs!$B$6</f>
        <v>281.163889490663</v>
      </c>
    </row>
    <row r="7" customFormat="false" ht="15" hidden="false" customHeight="false" outlineLevel="0" collapsed="false">
      <c r="A7" s="4" t="s">
        <v>46</v>
      </c>
      <c r="B7" s="15" t="n">
        <f aca="false">B6*(1-Inputs!$B$7)</f>
        <v>105</v>
      </c>
      <c r="C7" s="15" t="n">
        <f aca="false">C6*(1-Inputs!$B$7)</f>
        <v>113.4</v>
      </c>
      <c r="D7" s="15" t="n">
        <f aca="false">D6*(1-Inputs!$B$7)</f>
        <v>122.472</v>
      </c>
      <c r="E7" s="15" t="n">
        <f aca="false">E6*(1-Inputs!$B$7)</f>
        <v>132.26976</v>
      </c>
      <c r="F7" s="15" t="n">
        <f aca="false">F6*(1-Inputs!$B$7)</f>
        <v>142.8513408</v>
      </c>
      <c r="G7" s="15" t="n">
        <f aca="false">G6*(1-Inputs!$B$7)</f>
        <v>154.279448064</v>
      </c>
      <c r="H7" s="15" t="n">
        <f aca="false">H6*(1-Inputs!$B$7)</f>
        <v>165.07900942848</v>
      </c>
      <c r="I7" s="15" t="n">
        <f aca="false">I6*(1-Inputs!$B$7)</f>
        <v>174.983749994189</v>
      </c>
      <c r="J7" s="15" t="n">
        <f aca="false">J6*(1-Inputs!$B$7)</f>
        <v>183.732937493898</v>
      </c>
      <c r="K7" s="15" t="n">
        <f aca="false">K6*(1-Inputs!$B$7)</f>
        <v>191.082254993654</v>
      </c>
      <c r="L7" s="15" t="n">
        <f aca="false">L6*(1-Inputs!$B$7)</f>
        <v>196.814722643464</v>
      </c>
    </row>
    <row r="8" customFormat="false" ht="15" hidden="false" customHeight="false" outlineLevel="0" collapsed="false">
      <c r="A8" s="4" t="s">
        <v>47</v>
      </c>
      <c r="C8" s="15" t="n">
        <f aca="false">(C5-B5)/Inputs!$B$8</f>
        <v>72.7272727272727</v>
      </c>
      <c r="D8" s="15" t="n">
        <f aca="false">(D5-C5)/Inputs!$B$8</f>
        <v>78.5454545454546</v>
      </c>
      <c r="E8" s="15" t="n">
        <f aca="false">(E5-D5)/Inputs!$B$8</f>
        <v>84.829090909091</v>
      </c>
      <c r="F8" s="15" t="n">
        <f aca="false">(F5-E5)/Inputs!$B$8</f>
        <v>91.6154181818183</v>
      </c>
      <c r="G8" s="15" t="n">
        <f aca="false">(G5-F5)/Inputs!$B$8</f>
        <v>98.9446516363637</v>
      </c>
      <c r="H8" s="15" t="n">
        <f aca="false">(H5-G5)/Inputs!$B$8</f>
        <v>93.5026957963638</v>
      </c>
      <c r="I8" s="15" t="n">
        <f aca="false">(I5-H5)/Inputs!$B$8</f>
        <v>85.7553295732365</v>
      </c>
      <c r="J8" s="15" t="n">
        <f aca="false">(J5-I5)/Inputs!$B$8</f>
        <v>75.7505411230256</v>
      </c>
      <c r="K8" s="15" t="n">
        <f aca="false">(K5-J5)/Inputs!$B$8</f>
        <v>63.6304545433415</v>
      </c>
      <c r="L8" s="15" t="n">
        <f aca="false">(L5-K5)/Inputs!$B$8</f>
        <v>49.6317545438063</v>
      </c>
    </row>
    <row r="9" customFormat="false" ht="15" hidden="false" customHeight="false" outlineLevel="0" collapsed="false">
      <c r="A9" s="11" t="s">
        <v>48</v>
      </c>
      <c r="C9" s="16" t="n">
        <f aca="false">C7-C8</f>
        <v>40.6727272727273</v>
      </c>
      <c r="D9" s="16" t="n">
        <f aca="false">D7-D8</f>
        <v>43.9265454545454</v>
      </c>
      <c r="E9" s="16" t="n">
        <f aca="false">E7-E8</f>
        <v>47.440669090909</v>
      </c>
      <c r="F9" s="16" t="n">
        <f aca="false">F7-F8</f>
        <v>51.2359226181817</v>
      </c>
      <c r="G9" s="16" t="n">
        <f aca="false">G7-G8</f>
        <v>55.3347964276364</v>
      </c>
      <c r="H9" s="16" t="n">
        <f aca="false">H7-H8</f>
        <v>71.5763136321163</v>
      </c>
      <c r="I9" s="16" t="n">
        <f aca="false">I7-I8</f>
        <v>89.2284204209524</v>
      </c>
      <c r="J9" s="16" t="n">
        <f aca="false">J7-J8</f>
        <v>107.982396370873</v>
      </c>
      <c r="K9" s="16" t="n">
        <f aca="false">K7-K8</f>
        <v>127.451800450313</v>
      </c>
      <c r="L9" s="16" t="n">
        <f aca="false">L7-L8</f>
        <v>147.182968099658</v>
      </c>
    </row>
    <row r="10" customFormat="false" ht="15" hidden="false" customHeight="false" outlineLevel="0" collapsed="false">
      <c r="A10" s="4" t="s">
        <v>49</v>
      </c>
      <c r="C10" s="17" t="n">
        <f aca="false">1/(1+Inputs!$B$24)^C3</f>
        <v>0.926698174404597</v>
      </c>
      <c r="D10" s="17" t="n">
        <f aca="false">1/(1+Inputs!$B$24)^D3</f>
        <v>0.858769506444812</v>
      </c>
      <c r="E10" s="17" t="n">
        <f aca="false">1/(1+Inputs!$B$24)^E3</f>
        <v>0.795820133856744</v>
      </c>
      <c r="F10" s="17" t="n">
        <f aca="false">1/(1+Inputs!$B$24)^F3</f>
        <v>0.737485065199466</v>
      </c>
      <c r="G10" s="17" t="n">
        <f aca="false">1/(1+Inputs!$B$24)^G3</f>
        <v>0.683426063571</v>
      </c>
      <c r="H10" s="17" t="n">
        <f aca="false">1/(1+Inputs!$B$24)^H3</f>
        <v>0.633329685451765</v>
      </c>
      <c r="I10" s="17" t="n">
        <f aca="false">1/(1+Inputs!$B$24)^I3</f>
        <v>0.586905463304388</v>
      </c>
      <c r="J10" s="17" t="n">
        <f aca="false">1/(1+Inputs!$B$24)^J3</f>
        <v>0.54388422139226</v>
      </c>
      <c r="K10" s="17" t="n">
        <f aca="false">1/(1+Inputs!$B$24)^K3</f>
        <v>0.504016515051673</v>
      </c>
      <c r="L10" s="17" t="n">
        <f aca="false">1/(1+Inputs!$B$24)^L3</f>
        <v>0.467071184368152</v>
      </c>
    </row>
    <row r="11" customFormat="false" ht="15" hidden="false" customHeight="false" outlineLevel="0" collapsed="false">
      <c r="A11" s="4" t="s">
        <v>50</v>
      </c>
      <c r="C11" s="15" t="n">
        <f aca="false">C9*C10</f>
        <v>37.6913421116924</v>
      </c>
      <c r="D11" s="15" t="n">
        <f aca="false">D9*D10</f>
        <v>37.7227777598255</v>
      </c>
      <c r="E11" s="15" t="n">
        <f aca="false">E9*E10</f>
        <v>37.7542396261807</v>
      </c>
      <c r="F11" s="15" t="n">
        <f aca="false">F9*F10</f>
        <v>37.7857277326245</v>
      </c>
      <c r="G11" s="15" t="n">
        <f aca="false">G9*G10</f>
        <v>37.8172421010421</v>
      </c>
      <c r="H11" s="15" t="n">
        <f aca="false">H9*H10</f>
        <v>45.3314041984251</v>
      </c>
      <c r="I11" s="15" t="n">
        <f aca="false">I9*I10</f>
        <v>52.3686474270778</v>
      </c>
      <c r="J11" s="15" t="n">
        <f aca="false">J9*J10</f>
        <v>58.7299215742426</v>
      </c>
      <c r="K11" s="15" t="n">
        <f aca="false">K9*K10</f>
        <v>64.2378123000279</v>
      </c>
      <c r="L11" s="15" t="n">
        <f aca="false">L9*L10</f>
        <v>68.7449232291271</v>
      </c>
    </row>
    <row r="12" customFormat="false" ht="15" hidden="false" customHeight="false" outlineLevel="0" collapsed="false">
      <c r="A12" s="4" t="s">
        <v>51</v>
      </c>
      <c r="B12" s="18" t="n">
        <f aca="false">Inputs!B24</f>
        <v>0.0791</v>
      </c>
    </row>
    <row r="14" customFormat="false" ht="15" hidden="false" customHeight="false" outlineLevel="0" collapsed="false">
      <c r="A14" s="3" t="s">
        <v>52</v>
      </c>
      <c r="B14" s="3"/>
      <c r="C14" s="3"/>
    </row>
    <row r="15" customFormat="false" ht="15" hidden="false" customHeight="false" outlineLevel="0" collapsed="false">
      <c r="A15" s="4" t="s">
        <v>53</v>
      </c>
      <c r="B15" s="19" t="n">
        <f aca="false">Inputs!B17</f>
        <v>0.03</v>
      </c>
    </row>
    <row r="16" customFormat="false" ht="15" hidden="false" customHeight="false" outlineLevel="0" collapsed="false">
      <c r="A16" s="4" t="s">
        <v>31</v>
      </c>
      <c r="B16" s="19" t="n">
        <f aca="false">Inputs!B18</f>
        <v>0.1</v>
      </c>
    </row>
    <row r="17" customFormat="false" ht="15" hidden="false" customHeight="false" outlineLevel="0" collapsed="false">
      <c r="A17" s="4" t="s">
        <v>54</v>
      </c>
      <c r="B17" s="20" t="n">
        <f aca="false">B15/B16</f>
        <v>0.3</v>
      </c>
    </row>
    <row r="18" customFormat="false" ht="15" hidden="false" customHeight="false" outlineLevel="0" collapsed="false">
      <c r="A18" s="4" t="s">
        <v>55</v>
      </c>
      <c r="B18" s="15" t="n">
        <f aca="false">L7*(1+B15)</f>
        <v>202.719164322768</v>
      </c>
    </row>
    <row r="19" customFormat="false" ht="15" hidden="false" customHeight="false" outlineLevel="0" collapsed="false">
      <c r="A19" s="4" t="s">
        <v>56</v>
      </c>
      <c r="B19" s="15" t="n">
        <f aca="false">B18*(1-B17)</f>
        <v>141.903415025937</v>
      </c>
    </row>
    <row r="20" customFormat="false" ht="15" hidden="false" customHeight="false" outlineLevel="0" collapsed="false">
      <c r="A20" s="11" t="s">
        <v>57</v>
      </c>
      <c r="B20" s="16" t="n">
        <f aca="false">IF(B12&gt;B15,B19/(B12-B15),NA())</f>
        <v>2890.08991906186</v>
      </c>
    </row>
    <row r="21" customFormat="false" ht="15" hidden="false" customHeight="false" outlineLevel="0" collapsed="false">
      <c r="A21" s="4" t="s">
        <v>58</v>
      </c>
      <c r="B21" s="15" t="n">
        <f aca="false">B20*L10</f>
        <v>1349.87772142668</v>
      </c>
    </row>
    <row r="23" customFormat="false" ht="15" hidden="false" customHeight="false" outlineLevel="0" collapsed="false">
      <c r="A23" s="3" t="s">
        <v>59</v>
      </c>
      <c r="B23" s="21" t="s">
        <v>60</v>
      </c>
      <c r="C23" s="21" t="s">
        <v>61</v>
      </c>
    </row>
    <row r="24" customFormat="false" ht="15" hidden="false" customHeight="false" outlineLevel="0" collapsed="false">
      <c r="A24" s="4" t="s">
        <v>62</v>
      </c>
      <c r="B24" s="15" t="n">
        <f aca="false">SUM(C11:G11)</f>
        <v>188.771329331365</v>
      </c>
    </row>
    <row r="25" customFormat="false" ht="15" hidden="false" customHeight="false" outlineLevel="0" collapsed="false">
      <c r="A25" s="4" t="s">
        <v>63</v>
      </c>
      <c r="B25" s="15" t="n">
        <f aca="false">SUM(H11:L11)</f>
        <v>289.4127087289</v>
      </c>
    </row>
    <row r="26" customFormat="false" ht="15" hidden="false" customHeight="false" outlineLevel="0" collapsed="false">
      <c r="A26" s="4" t="s">
        <v>58</v>
      </c>
      <c r="B26" s="15" t="n">
        <f aca="false">B21</f>
        <v>1349.87772142668</v>
      </c>
    </row>
    <row r="27" customFormat="false" ht="15" hidden="false" customHeight="false" outlineLevel="0" collapsed="false">
      <c r="A27" s="11" t="s">
        <v>64</v>
      </c>
      <c r="B27" s="22" t="n">
        <f aca="false">SUM(B24:B26)</f>
        <v>1828.06175948695</v>
      </c>
      <c r="C27" s="22" t="n">
        <f aca="false">B27*(1+B12)^0.5</f>
        <v>1898.9857691414</v>
      </c>
    </row>
    <row r="28" customFormat="false" ht="15" hidden="false" customHeight="false" outlineLevel="0" collapsed="false">
      <c r="A28" s="4" t="s">
        <v>65</v>
      </c>
      <c r="B28" s="14" t="n">
        <f aca="false">Inputs!B9</f>
        <v>100</v>
      </c>
      <c r="C28" s="14" t="n">
        <f aca="false">Inputs!B9</f>
        <v>100</v>
      </c>
    </row>
    <row r="29" customFormat="false" ht="15" hidden="false" customHeight="false" outlineLevel="0" collapsed="false">
      <c r="A29" s="4" t="s">
        <v>66</v>
      </c>
      <c r="B29" s="14" t="n">
        <f aca="false">-Inputs!B10</f>
        <v>-400</v>
      </c>
      <c r="C29" s="14" t="n">
        <f aca="false">-Inputs!B10</f>
        <v>-400</v>
      </c>
    </row>
    <row r="30" customFormat="false" ht="15" hidden="false" customHeight="false" outlineLevel="0" collapsed="false">
      <c r="A30" s="11" t="s">
        <v>67</v>
      </c>
      <c r="B30" s="16" t="n">
        <f aca="false">SUM(B27:B29)</f>
        <v>1528.06175948695</v>
      </c>
      <c r="C30" s="16" t="n">
        <f aca="false">SUM(C27:C29)</f>
        <v>1598.9857691414</v>
      </c>
    </row>
    <row r="31" customFormat="false" ht="15" hidden="false" customHeight="false" outlineLevel="0" collapsed="false">
      <c r="A31" s="4" t="s">
        <v>17</v>
      </c>
      <c r="B31" s="23" t="n">
        <f aca="false">Inputs!B11</f>
        <v>100</v>
      </c>
      <c r="C31" s="23" t="n">
        <f aca="false">Inputs!B11</f>
        <v>100</v>
      </c>
    </row>
    <row r="32" customFormat="false" ht="15" hidden="false" customHeight="false" outlineLevel="0" collapsed="false">
      <c r="A32" s="11" t="s">
        <v>68</v>
      </c>
      <c r="B32" s="24" t="n">
        <f aca="false">B30/B31</f>
        <v>15.2806175948695</v>
      </c>
      <c r="C32" s="24" t="n">
        <f aca="false">C30/C31</f>
        <v>15.989857691414</v>
      </c>
    </row>
    <row r="34" customFormat="false" ht="15" hidden="false" customHeight="false" outlineLevel="0" collapsed="false">
      <c r="A34" s="3" t="s">
        <v>69</v>
      </c>
      <c r="B34" s="3"/>
      <c r="C34" s="3"/>
    </row>
    <row r="35" customFormat="false" ht="15" hidden="false" customHeight="false" outlineLevel="0" collapsed="false">
      <c r="A35" s="4" t="s">
        <v>70</v>
      </c>
      <c r="B35" s="20" t="n">
        <f aca="false">B26/B27</f>
        <v>0.738420195281329</v>
      </c>
    </row>
    <row r="36" customFormat="false" ht="15" hidden="false" customHeight="false" outlineLevel="0" collapsed="false">
      <c r="A36" s="4" t="s">
        <v>71</v>
      </c>
      <c r="B36" s="25" t="n">
        <f aca="false">B27/B6</f>
        <v>12.1870783965796</v>
      </c>
    </row>
    <row r="37" customFormat="false" ht="15" hidden="false" customHeight="false" outlineLevel="0" collapsed="false">
      <c r="A37" s="4" t="s">
        <v>72</v>
      </c>
      <c r="B37" s="25" t="n">
        <f aca="false">B27/B7</f>
        <v>17.4101119951138</v>
      </c>
    </row>
    <row r="38" customFormat="false" ht="15" hidden="false" customHeight="false" outlineLevel="0" collapsed="false">
      <c r="A38" s="4" t="s">
        <v>73</v>
      </c>
      <c r="B38" s="25" t="n">
        <f aca="false">B30/600</f>
        <v>2.54676959914491</v>
      </c>
      <c r="C38" s="2" t="s">
        <v>74</v>
      </c>
    </row>
    <row r="39" customFormat="false" ht="15" hidden="false" customHeight="false" outlineLevel="0" collapsed="false">
      <c r="A39" s="4" t="s">
        <v>75</v>
      </c>
      <c r="B39" s="20" t="n">
        <f aca="false">L8/L7</f>
        <v>0.252175009456563</v>
      </c>
    </row>
    <row r="40" customFormat="false" ht="15" hidden="false" customHeight="false" outlineLevel="0" collapsed="false">
      <c r="A40" s="4" t="s">
        <v>76</v>
      </c>
      <c r="B40" s="20" t="n">
        <f aca="false">C27/B27-1</f>
        <v>0.0387973815908471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11" t="s">
        <v>79</v>
      </c>
    </row>
    <row r="5" customFormat="false" ht="15" hidden="false" customHeight="false" outlineLevel="0" collapsed="false">
      <c r="A5" s="3" t="s">
        <v>80</v>
      </c>
      <c r="B5" s="26" t="n">
        <v>0.01</v>
      </c>
      <c r="C5" s="26" t="n">
        <v>0.02</v>
      </c>
      <c r="D5" s="26" t="n">
        <v>0.03</v>
      </c>
      <c r="E5" s="26" t="n">
        <v>0.04</v>
      </c>
    </row>
    <row r="6" customFormat="false" ht="15" hidden="false" customHeight="false" outlineLevel="0" collapsed="false">
      <c r="A6" s="10" t="n">
        <f aca="false">Inputs!$B$24+(-0.01)</f>
        <v>0.0691</v>
      </c>
      <c r="B6" s="27" t="n">
        <f aca="false">IF($A6&lt;=B$5,"nmf",(SUMPRODUCT(DCF!$C$9:$L$9/(1+$A6)^DCF!$C$3:$L$3)+DCF!$L$7*(1+B$5)*(1-B$5/Inputs!$B$18)/($A6-B$5)/(1+$A6)^DCF!$L$3+Inputs!$B$9-Inputs!$B$10)/Inputs!$B$11)</f>
        <v>17.5839854509402</v>
      </c>
      <c r="C6" s="27" t="n">
        <f aca="false">IF($A6&lt;=C$5,"nmf",(SUMPRODUCT(DCF!$C$9:$L$9/(1+$A6)^DCF!$C$3:$L$3)+DCF!$L$7*(1+C$5)*(1-C$5/Inputs!$B$18)/($A6-C$5)/(1+$A6)^DCF!$L$3+Inputs!$B$9-Inputs!$B$10)/Inputs!$B$11)</f>
        <v>18.8335167344872</v>
      </c>
      <c r="D6" s="27" t="n">
        <f aca="false">IF($A6&lt;=D$5,"nmf",(SUMPRODUCT(DCF!$C$9:$L$9/(1+$A6)^DCF!$C$3:$L$3)+DCF!$L$7*(1+D$5)*(1-D$5/Inputs!$B$18)/($A6-D$5)/(1+$A6)^DCF!$L$3+Inputs!$B$9-Inputs!$B$10)/Inputs!$B$11)</f>
        <v>20.6705852073044</v>
      </c>
      <c r="E6" s="27" t="n">
        <f aca="false">IF($A6&lt;=E$5,"nmf",(SUMPRODUCT(DCF!$C$9:$L$9/(1+$A6)^DCF!$C$3:$L$3)+DCF!$L$7*(1+E$5)*(1-E$5/Inputs!$B$18)/($A6-E$5)/(1+$A6)^DCF!$L$3+Inputs!$B$9-Inputs!$B$10)/Inputs!$B$11)</f>
        <v>23.7008993119385</v>
      </c>
    </row>
    <row r="7" customFormat="false" ht="15" hidden="false" customHeight="false" outlineLevel="0" collapsed="false">
      <c r="A7" s="10" t="n">
        <f aca="false">Inputs!$B$24+(-0.005)</f>
        <v>0.0741</v>
      </c>
      <c r="B7" s="27" t="n">
        <f aca="false">IF($A7&lt;=B$5,"nmf",(SUMPRODUCT(DCF!$C$9:$L$9/(1+$A7)^DCF!$C$3:$L$3)+DCF!$L$7*(1+B$5)*(1-B$5/Inputs!$B$18)/($A7-B$5)/(1+$A7)^DCF!$L$3+Inputs!$B$9-Inputs!$B$10)/Inputs!$B$11)</f>
        <v>15.5765985591402</v>
      </c>
      <c r="C7" s="27" t="n">
        <f aca="false">IF($A7&lt;=C$5,"nmf",(SUMPRODUCT(DCF!$C$9:$L$9/(1+$A7)^DCF!$C$3:$L$3)+DCF!$L$7*(1+C$5)*(1-C$5/Inputs!$B$18)/($A7-C$5)/(1+$A7)^DCF!$L$3+Inputs!$B$9-Inputs!$B$10)/Inputs!$B$11)</f>
        <v>16.4453970227662</v>
      </c>
      <c r="D7" s="27" t="n">
        <f aca="false">IF($A7&lt;=D$5,"nmf",(SUMPRODUCT(DCF!$C$9:$L$9/(1+$A7)^DCF!$C$3:$L$3)+DCF!$L$7*(1+D$5)*(1-D$5/Inputs!$B$18)/($A7-D$5)/(1+$A7)^DCF!$L$3+Inputs!$B$9-Inputs!$B$10)/Inputs!$B$11)</f>
        <v>17.6645365216098</v>
      </c>
      <c r="E7" s="27" t="n">
        <f aca="false">IF($A7&lt;=E$5,"nmf",(SUMPRODUCT(DCF!$C$9:$L$9/(1+$A7)^DCF!$C$3:$L$3)+DCF!$L$7*(1+E$5)*(1-E$5/Inputs!$B$18)/($A7-E$5)/(1+$A7)^DCF!$L$3+Inputs!$B$9-Inputs!$B$10)/Inputs!$B$11)</f>
        <v>19.5422349752173</v>
      </c>
    </row>
    <row r="8" customFormat="false" ht="15" hidden="false" customHeight="false" outlineLevel="0" collapsed="false">
      <c r="A8" s="10" t="n">
        <f aca="false">Inputs!$B$24+(0)</f>
        <v>0.0791</v>
      </c>
      <c r="B8" s="27" t="n">
        <f aca="false">IF($A8&lt;=B$5,"nmf",(SUMPRODUCT(DCF!$C$9:$L$9/(1+$A8)^DCF!$C$3:$L$3)+DCF!$L$7*(1+B$5)*(1-B$5/Inputs!$B$18)/($A8-B$5)/(1+$A8)^DCF!$L$3+Inputs!$B$9-Inputs!$B$10)/Inputs!$B$11)</f>
        <v>13.8746298764073</v>
      </c>
      <c r="C8" s="27" t="n">
        <f aca="false">IF($A8&lt;=C$5,"nmf",(SUMPRODUCT(DCF!$C$9:$L$9/(1+$A8)^DCF!$C$3:$L$3)+DCF!$L$7*(1+C$5)*(1-C$5/Inputs!$B$18)/($A8-C$5)/(1+$A8)^DCF!$L$3+Inputs!$B$9-Inputs!$B$10)/Inputs!$B$11)</f>
        <v>14.4742282409472</v>
      </c>
      <c r="D8" s="27" t="n">
        <f aca="false">IF($A8&lt;=D$5,"nmf",(SUMPRODUCT(DCF!$C$9:$L$9/(1+$A8)^DCF!$C$3:$L$3)+DCF!$L$7*(1+D$5)*(1-D$5/Inputs!$B$18)/($A8-D$5)/(1+$A8)^DCF!$L$3+Inputs!$B$9-Inputs!$B$10)/Inputs!$B$11)</f>
        <v>15.2806175948695</v>
      </c>
      <c r="E8" s="27" t="n">
        <f aca="false">IF($A8&lt;=E$5,"nmf",(SUMPRODUCT(DCF!$C$9:$L$9/(1+$A8)^DCF!$C$3:$L$3)+DCF!$L$7*(1+E$5)*(1-E$5/Inputs!$B$18)/($A8-E$5)/(1+$A8)^DCF!$L$3+Inputs!$B$9-Inputs!$B$10)/Inputs!$B$11)</f>
        <v>16.4524611013831</v>
      </c>
    </row>
    <row r="9" customFormat="false" ht="15" hidden="false" customHeight="false" outlineLevel="0" collapsed="false">
      <c r="A9" s="10" t="n">
        <f aca="false">Inputs!$B$24+(0.005)</f>
        <v>0.0841</v>
      </c>
      <c r="B9" s="27" t="n">
        <f aca="false">IF($A9&lt;=B$5,"nmf",(SUMPRODUCT(DCF!$C$9:$L$9/(1+$A9)^DCF!$C$3:$L$3)+DCF!$L$7*(1+B$5)*(1-B$5/Inputs!$B$18)/($A9-B$5)/(1+$A9)^DCF!$L$3+Inputs!$B$9-Inputs!$B$10)/Inputs!$B$11)</f>
        <v>12.4156089086689</v>
      </c>
      <c r="C9" s="27" t="n">
        <f aca="false">IF($A9&lt;=C$5,"nmf",(SUMPRODUCT(DCF!$C$9:$L$9/(1+$A9)^DCF!$C$3:$L$3)+DCF!$L$7*(1+C$5)*(1-C$5/Inputs!$B$18)/($A9-C$5)/(1+$A9)^DCF!$L$3+Inputs!$B$9-Inputs!$B$10)/Inputs!$B$11)</f>
        <v>12.8219155088712</v>
      </c>
      <c r="D9" s="27" t="n">
        <f aca="false">IF($A9&lt;=D$5,"nmf",(SUMPRODUCT(DCF!$C$9:$L$9/(1+$A9)^DCF!$C$3:$L$3)+DCF!$L$7*(1+D$5)*(1-D$5/Inputs!$B$18)/($A9-D$5)/(1+$A9)^DCF!$L$3+Inputs!$B$9-Inputs!$B$10)/Inputs!$B$11)</f>
        <v>13.3459792086258</v>
      </c>
      <c r="E9" s="27" t="n">
        <f aca="false">IF($A9&lt;=E$5,"nmf",(SUMPRODUCT(DCF!$C$9:$L$9/(1+$A9)^DCF!$C$3:$L$3)+DCF!$L$7*(1+E$5)*(1-E$5/Inputs!$B$18)/($A9-E$5)/(1+$A9)^DCF!$L$3+Inputs!$B$9-Inputs!$B$10)/Inputs!$B$11)</f>
        <v>14.0679068783761</v>
      </c>
    </row>
    <row r="10" customFormat="false" ht="15" hidden="false" customHeight="false" outlineLevel="0" collapsed="false">
      <c r="A10" s="10" t="n">
        <f aca="false">Inputs!$B$24+(0.01)</f>
        <v>0.0891</v>
      </c>
      <c r="B10" s="27" t="n">
        <f aca="false">IF($A10&lt;=B$5,"nmf",(SUMPRODUCT(DCF!$C$9:$L$9/(1+$A10)^DCF!$C$3:$L$3)+DCF!$L$7*(1+B$5)*(1-B$5/Inputs!$B$18)/($A10-B$5)/(1+$A10)^DCF!$L$3+Inputs!$B$9-Inputs!$B$10)/Inputs!$B$11)</f>
        <v>11.1528919119515</v>
      </c>
      <c r="C10" s="27" t="n">
        <f aca="false">IF($A10&lt;=C$5,"nmf",(SUMPRODUCT(DCF!$C$9:$L$9/(1+$A10)^DCF!$C$3:$L$3)+DCF!$L$7*(1+C$5)*(1-C$5/Inputs!$B$18)/($A10-C$5)/(1+$A10)^DCF!$L$3+Inputs!$B$9-Inputs!$B$10)/Inputs!$B$11)</f>
        <v>11.4187803301834</v>
      </c>
      <c r="D10" s="27" t="n">
        <f aca="false">IF($A10&lt;=D$5,"nmf",(SUMPRODUCT(DCF!$C$9:$L$9/(1+$A10)^DCF!$C$3:$L$3)+DCF!$L$7*(1+D$5)*(1-D$5/Inputs!$B$18)/($A10-D$5)/(1+$A10)^DCF!$L$3+Inputs!$B$9-Inputs!$B$10)/Inputs!$B$11)</f>
        <v>11.7462803136304</v>
      </c>
      <c r="E10" s="27" t="n">
        <f aca="false">IF($A10&lt;=E$5,"nmf",(SUMPRODUCT(DCF!$C$9:$L$9/(1+$A10)^DCF!$C$3:$L$3)+DCF!$L$7*(1+E$5)*(1-E$5/Inputs!$B$18)/($A10-E$5)/(1+$A10)^DCF!$L$3+Inputs!$B$9-Inputs!$B$10)/Inputs!$B$11)</f>
        <v>12.1730364031572</v>
      </c>
    </row>
    <row r="12" customFormat="false" ht="15" hidden="false" customHeight="false" outlineLevel="0" collapsed="false">
      <c r="A12" s="2" t="s">
        <v>81</v>
      </c>
    </row>
    <row r="14" customFormat="false" ht="15" hidden="false" customHeight="false" outlineLevel="0" collapsed="false">
      <c r="A14" s="11" t="s">
        <v>82</v>
      </c>
    </row>
    <row r="15" customFormat="false" ht="15" hidden="false" customHeight="false" outlineLevel="0" collapsed="false">
      <c r="A15" s="3" t="s">
        <v>83</v>
      </c>
      <c r="B15" s="28" t="n">
        <f aca="false">Inputs!B24</f>
        <v>0.0791</v>
      </c>
      <c r="C15" s="26" t="n">
        <v>0.1</v>
      </c>
      <c r="D15" s="26" t="n">
        <v>0.15</v>
      </c>
      <c r="E15" s="26" t="n">
        <v>0.2</v>
      </c>
    </row>
    <row r="16" customFormat="false" ht="15" hidden="false" customHeight="false" outlineLevel="0" collapsed="false">
      <c r="A16" s="6" t="n">
        <v>0.01</v>
      </c>
      <c r="B16" s="29" t="n">
        <f aca="false">DCF!$B$18*(1-$A16/B$15)/(DCF!$B$12-$A16)</f>
        <v>2562.82129358746</v>
      </c>
      <c r="C16" s="29" t="n">
        <f aca="false">DCF!$B$18*(1-$A16/C$15)/(DCF!$B$12-$A16)</f>
        <v>2640.33643835732</v>
      </c>
      <c r="D16" s="29" t="n">
        <f aca="false">DCF!$B$18*(1-$A16/D$15)/(DCF!$B$12-$A16)</f>
        <v>2738.126676815</v>
      </c>
      <c r="E16" s="29" t="n">
        <f aca="false">DCF!$B$18*(1-$A16/E$15)/(DCF!$B$12-$A16)</f>
        <v>2787.02179604384</v>
      </c>
    </row>
    <row r="17" customFormat="false" ht="15" hidden="false" customHeight="false" outlineLevel="0" collapsed="false">
      <c r="A17" s="6" t="n">
        <v>0.02</v>
      </c>
      <c r="B17" s="29" t="n">
        <f aca="false">DCF!$B$18*(1-$A17/B$15)/(DCF!$B$12-$A17)</f>
        <v>2562.82129358746</v>
      </c>
      <c r="C17" s="29" t="n">
        <f aca="false">DCF!$B$18*(1-$A17/C$15)/(DCF!$B$12-$A17)</f>
        <v>2744.08344260938</v>
      </c>
      <c r="D17" s="29" t="n">
        <f aca="false">DCF!$B$18*(1-$A17/D$15)/(DCF!$B$12-$A17)</f>
        <v>2972.75706282683</v>
      </c>
      <c r="E17" s="29" t="n">
        <f aca="false">DCF!$B$18*(1-$A17/E$15)/(DCF!$B$12-$A17)</f>
        <v>3087.09387293555</v>
      </c>
    </row>
    <row r="18" customFormat="false" ht="15" hidden="false" customHeight="false" outlineLevel="0" collapsed="false">
      <c r="A18" s="6" t="n">
        <v>0.03</v>
      </c>
      <c r="B18" s="29" t="n">
        <f aca="false">DCF!$B$18*(1-$A18/B$15)/(DCF!$B$12-$A18)</f>
        <v>2562.82129358746</v>
      </c>
      <c r="C18" s="29" t="n">
        <f aca="false">DCF!$B$18*(1-$A18/C$15)/(DCF!$B$12-$A18)</f>
        <v>2890.08991906186</v>
      </c>
      <c r="D18" s="29" t="n">
        <f aca="false">DCF!$B$18*(1-$A18/D$15)/(DCF!$B$12-$A18)</f>
        <v>3302.95990749927</v>
      </c>
      <c r="E18" s="29" t="n">
        <f aca="false">DCF!$B$18*(1-$A18/E$15)/(DCF!$B$12-$A18)</f>
        <v>3509.39490171798</v>
      </c>
    </row>
    <row r="19" customFormat="false" ht="15" hidden="false" customHeight="false" outlineLevel="0" collapsed="false">
      <c r="A19" s="6" t="n">
        <v>0.04</v>
      </c>
      <c r="B19" s="29" t="n">
        <f aca="false">DCF!$B$18*(1-$A19/B$15)/(DCF!$B$12-$A19)</f>
        <v>2562.82129358746</v>
      </c>
      <c r="C19" s="29" t="n">
        <f aca="false">DCF!$B$18*(1-$A19/C$15)/(DCF!$B$12-$A19)</f>
        <v>3110.78001518314</v>
      </c>
      <c r="D19" s="29" t="n">
        <f aca="false">DCF!$B$18*(1-$A19/D$15)/(DCF!$B$12-$A19)</f>
        <v>3802.06446300161</v>
      </c>
      <c r="E19" s="29" t="n">
        <f aca="false">DCF!$B$18*(1-$A19/E$15)/(DCF!$B$12-$A19)</f>
        <v>4147.70668691085</v>
      </c>
    </row>
    <row r="20" customFormat="false" ht="15" hidden="false" customHeight="false" outlineLevel="0" collapsed="false">
      <c r="A20" s="2" t="s">
        <v>84</v>
      </c>
    </row>
    <row r="22" customFormat="false" ht="15" hidden="false" customHeight="false" outlineLevel="0" collapsed="false">
      <c r="A22" s="11" t="s">
        <v>85</v>
      </c>
    </row>
    <row r="23" customFormat="false" ht="15" hidden="false" customHeight="false" outlineLevel="0" collapsed="false">
      <c r="A23" s="3" t="s">
        <v>86</v>
      </c>
      <c r="B23" s="3" t="s">
        <v>87</v>
      </c>
      <c r="C23" s="3" t="s">
        <v>88</v>
      </c>
      <c r="D23" s="3" t="s">
        <v>89</v>
      </c>
    </row>
    <row r="24" customFormat="false" ht="15" hidden="false" customHeight="false" outlineLevel="0" collapsed="false">
      <c r="A24" s="6" t="n">
        <v>0.01</v>
      </c>
      <c r="B24" s="20" t="n">
        <f aca="false">A24/Inputs!$B$18</f>
        <v>0.1</v>
      </c>
      <c r="C24" s="27" t="n">
        <f aca="false">(SUMPRODUCT(DCF!$C$9:$L$9/(1+DCF!$B$12)^DCF!$C$3:$L$3)+DCF!$L$9*(1+A24)/(DCF!$B$12-A24)/(1+DCF!$B$12)^DCF!$L$3+Inputs!$B$9-Inputs!$B$10)/Inputs!$B$11</f>
        <v>11.8299405920959</v>
      </c>
      <c r="D24" s="27" t="n">
        <f aca="false">(SUMPRODUCT(DCF!$C$9:$L$9/(1+DCF!$B$12)^DCF!$C$3:$L$3)+DCF!$L$7*(1+A24)*(1-A24/Inputs!$B$18)/(DCF!$B$12-A24)/(1+DCF!$B$12)^DCF!$L$3+Inputs!$B$9-Inputs!$B$10)/Inputs!$B$11</f>
        <v>13.8746298764073</v>
      </c>
    </row>
    <row r="25" customFormat="false" ht="15" hidden="false" customHeight="false" outlineLevel="0" collapsed="false">
      <c r="A25" s="6" t="n">
        <v>0.02</v>
      </c>
      <c r="B25" s="20" t="n">
        <f aca="false">A25/Inputs!$B$18</f>
        <v>0.2</v>
      </c>
      <c r="C25" s="27" t="n">
        <f aca="false">(SUMPRODUCT(DCF!$C$9:$L$9/(1+DCF!$B$12)^DCF!$C$3:$L$3)+DCF!$L$9*(1+A25)/(DCF!$B$12-A25)/(1+DCF!$B$12)^DCF!$L$3+Inputs!$B$9-Inputs!$B$10)/Inputs!$B$11</f>
        <v>13.6464464201474</v>
      </c>
      <c r="D25" s="27" t="n">
        <f aca="false">(SUMPRODUCT(DCF!$C$9:$L$9/(1+DCF!$B$12)^DCF!$C$3:$L$3)+DCF!$L$7*(1+A25)*(1-A25/Inputs!$B$18)/(DCF!$B$12-A25)/(1+DCF!$B$12)^DCF!$L$3+Inputs!$B$9-Inputs!$B$10)/Inputs!$B$11</f>
        <v>14.4742282409472</v>
      </c>
    </row>
    <row r="26" customFormat="false" ht="15" hidden="false" customHeight="false" outlineLevel="0" collapsed="false">
      <c r="A26" s="6" t="n">
        <v>0.03</v>
      </c>
      <c r="B26" s="20" t="n">
        <f aca="false">A26/Inputs!$B$18</f>
        <v>0.3</v>
      </c>
      <c r="C26" s="27" t="n">
        <f aca="false">(SUMPRODUCT(DCF!$C$9:$L$9/(1+DCF!$B$12)^DCF!$C$3:$L$3)+DCF!$L$9*(1+A26)/(DCF!$B$12-A26)/(1+DCF!$B$12)^DCF!$L$3+Inputs!$B$9-Inputs!$B$10)/Inputs!$B$11</f>
        <v>16.2028731557556</v>
      </c>
      <c r="D26" s="27" t="n">
        <f aca="false">(SUMPRODUCT(DCF!$C$9:$L$9/(1+DCF!$B$12)^DCF!$C$3:$L$3)+DCF!$L$7*(1+A26)*(1-A26/Inputs!$B$18)/(DCF!$B$12-A26)/(1+DCF!$B$12)^DCF!$L$3+Inputs!$B$9-Inputs!$B$10)/Inputs!$B$11</f>
        <v>15.2806175948695</v>
      </c>
    </row>
    <row r="27" customFormat="false" ht="15" hidden="false" customHeight="false" outlineLevel="0" collapsed="false">
      <c r="A27" s="6" t="n">
        <v>0.04</v>
      </c>
      <c r="B27" s="20" t="n">
        <f aca="false">A27/Inputs!$B$18</f>
        <v>0.4</v>
      </c>
      <c r="C27" s="27" t="n">
        <f aca="false">(SUMPRODUCT(DCF!$C$9:$L$9/(1+DCF!$B$12)^DCF!$C$3:$L$3)+DCF!$L$9*(1+A27)/(DCF!$B$12-A27)/(1+DCF!$B$12)^DCF!$L$3+Inputs!$B$9-Inputs!$B$10)/Inputs!$B$11</f>
        <v>20.0669350502426</v>
      </c>
      <c r="D27" s="27" t="n">
        <f aca="false">(SUMPRODUCT(DCF!$C$9:$L$9/(1+DCF!$B$12)^DCF!$C$3:$L$3)+DCF!$L$7*(1+A27)*(1-A27/Inputs!$B$18)/(DCF!$B$12-A27)/(1+DCF!$B$12)^DCF!$L$3+Inputs!$B$9-Inputs!$B$10)/Inputs!$B$11</f>
        <v>16.4524611013831</v>
      </c>
    </row>
    <row r="28" customFormat="false" ht="15" hidden="false" customHeight="false" outlineLevel="0" collapsed="false">
      <c r="A28" s="6" t="n">
        <v>0.05</v>
      </c>
      <c r="B28" s="20" t="n">
        <f aca="false">A28/Inputs!$B$18</f>
        <v>0.5</v>
      </c>
      <c r="C28" s="27" t="n">
        <f aca="false">(SUMPRODUCT(DCF!$C$9:$L$9/(1+DCF!$B$12)^DCF!$C$3:$L$3)+DCF!$L$9*(1+A28)/(DCF!$B$12-A28)/(1+DCF!$B$12)^DCF!$L$3+Inputs!$B$9-Inputs!$B$10)/Inputs!$B$11</f>
        <v>26.5867095869887</v>
      </c>
      <c r="D28" s="27" t="n">
        <f aca="false">(SUMPRODUCT(DCF!$C$9:$L$9/(1+DCF!$B$12)^DCF!$C$3:$L$3)+DCF!$L$7*(1+A28)*(1-A28/Inputs!$B$18)/(DCF!$B$12-A28)/(1+DCF!$B$12)^DCF!$L$3+Inputs!$B$9-Inputs!$B$10)/Inputs!$B$11</f>
        <v>18.3665156188296</v>
      </c>
    </row>
    <row r="29" customFormat="false" ht="15" hidden="false" customHeight="false" outlineLevel="0" collapsed="false">
      <c r="A29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1" min="2" style="0" width="11"/>
    <col collapsed="false" customWidth="true" hidden="false" outlineLevel="0" max="32" min="32" style="0" width="18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4" t="s">
        <v>93</v>
      </c>
      <c r="B4" s="30" t="n">
        <f aca="false">Inputs!B19</f>
        <v>18</v>
      </c>
    </row>
    <row r="5" customFormat="false" ht="15" hidden="false" customHeight="false" outlineLevel="0" collapsed="false">
      <c r="A5" s="11" t="s">
        <v>94</v>
      </c>
      <c r="B5" s="31" t="n">
        <f aca="false">IFERROR(INDEX($A$9:$A$19,MATCH(B4,$AF$9:$AF$19,1))+(B4-INDEX($AF$9:$AF$19,MATCH(B4,$AF$9:$AF$19,1)))/(INDEX($AF$9:$AF$19,MATCH(B4,$AF$9:$AF$19,1)+1)-INDEX($AF$9:$AF$19,MATCH(B4,$AF$9:$AF$19,1)))*0.02,"outside 0-20% grid")</f>
        <v>0.122891607217868</v>
      </c>
    </row>
    <row r="6" customFormat="false" ht="15" hidden="false" customHeight="false" outlineLevel="0" collapsed="false">
      <c r="A6" s="2" t="s">
        <v>95</v>
      </c>
    </row>
    <row r="7" customFormat="false" ht="15" hidden="false" customHeight="false" outlineLevel="0" collapsed="false">
      <c r="A7" s="3" t="s">
        <v>42</v>
      </c>
      <c r="B7" s="32" t="n">
        <v>1</v>
      </c>
      <c r="C7" s="32" t="n">
        <v>2</v>
      </c>
      <c r="D7" s="32" t="n">
        <v>3</v>
      </c>
      <c r="E7" s="32" t="n">
        <v>4</v>
      </c>
      <c r="F7" s="32" t="n">
        <v>5</v>
      </c>
      <c r="G7" s="32" t="n">
        <v>6</v>
      </c>
      <c r="H7" s="32" t="n">
        <v>7</v>
      </c>
      <c r="I7" s="32" t="n">
        <v>8</v>
      </c>
      <c r="J7" s="32" t="n">
        <v>9</v>
      </c>
      <c r="K7" s="32" t="n">
        <v>10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customFormat="false" ht="15" hidden="false" customHeight="false" outlineLevel="0" collapsed="false">
      <c r="A8" s="3" t="s">
        <v>96</v>
      </c>
      <c r="B8" s="3" t="s">
        <v>97</v>
      </c>
      <c r="C8" s="3" t="s">
        <v>98</v>
      </c>
      <c r="D8" s="3" t="s">
        <v>99</v>
      </c>
      <c r="E8" s="3" t="s">
        <v>100</v>
      </c>
      <c r="F8" s="3" t="s">
        <v>101</v>
      </c>
      <c r="G8" s="3" t="s">
        <v>102</v>
      </c>
      <c r="H8" s="3" t="s">
        <v>103</v>
      </c>
      <c r="I8" s="3" t="s">
        <v>104</v>
      </c>
      <c r="J8" s="3" t="s">
        <v>105</v>
      </c>
      <c r="K8" s="3" t="s">
        <v>106</v>
      </c>
      <c r="L8" s="3" t="s">
        <v>107</v>
      </c>
      <c r="M8" s="3" t="s">
        <v>108</v>
      </c>
      <c r="N8" s="3" t="s">
        <v>109</v>
      </c>
      <c r="O8" s="3" t="s">
        <v>110</v>
      </c>
      <c r="P8" s="3" t="s">
        <v>111</v>
      </c>
      <c r="Q8" s="3" t="s">
        <v>112</v>
      </c>
      <c r="R8" s="3" t="s">
        <v>113</v>
      </c>
      <c r="S8" s="3" t="s">
        <v>114</v>
      </c>
      <c r="T8" s="3" t="s">
        <v>115</v>
      </c>
      <c r="U8" s="3" t="s">
        <v>116</v>
      </c>
      <c r="V8" s="3" t="s">
        <v>117</v>
      </c>
      <c r="W8" s="3" t="s">
        <v>118</v>
      </c>
      <c r="X8" s="3" t="s">
        <v>119</v>
      </c>
      <c r="Y8" s="3" t="s">
        <v>120</v>
      </c>
      <c r="Z8" s="3" t="s">
        <v>121</v>
      </c>
      <c r="AA8" s="3" t="s">
        <v>122</v>
      </c>
      <c r="AB8" s="3" t="s">
        <v>123</v>
      </c>
      <c r="AC8" s="3" t="s">
        <v>124</v>
      </c>
      <c r="AD8" s="3" t="s">
        <v>125</v>
      </c>
      <c r="AE8" s="3" t="s">
        <v>126</v>
      </c>
      <c r="AF8" s="3" t="s">
        <v>68</v>
      </c>
    </row>
    <row r="9" customFormat="false" ht="15" hidden="false" customHeight="false" outlineLevel="0" collapsed="false">
      <c r="A9" s="6" t="n">
        <v>0</v>
      </c>
      <c r="B9" s="20" t="n">
        <f aca="false">$A9</f>
        <v>0</v>
      </c>
      <c r="C9" s="20" t="n">
        <f aca="false">$A9</f>
        <v>0</v>
      </c>
      <c r="D9" s="20" t="n">
        <f aca="false">$A9</f>
        <v>0</v>
      </c>
      <c r="E9" s="20" t="n">
        <f aca="false">$A9</f>
        <v>0</v>
      </c>
      <c r="F9" s="20" t="n">
        <f aca="false">$A9</f>
        <v>0</v>
      </c>
      <c r="G9" s="20" t="n">
        <f aca="false">$A9+(Inputs!$B$17-$A9)*(G$7-5)/5</f>
        <v>0.006</v>
      </c>
      <c r="H9" s="20" t="n">
        <f aca="false">$A9+(Inputs!$B$17-$A9)*(H$7-5)/5</f>
        <v>0.012</v>
      </c>
      <c r="I9" s="20" t="n">
        <f aca="false">$A9+(Inputs!$B$17-$A9)*(I$7-5)/5</f>
        <v>0.018</v>
      </c>
      <c r="J9" s="20" t="n">
        <f aca="false">$A9+(Inputs!$B$17-$A9)*(J$7-5)/5</f>
        <v>0.024</v>
      </c>
      <c r="K9" s="20" t="n">
        <f aca="false">$A9+(Inputs!$B$17-$A9)*(K$7-5)/5</f>
        <v>0.03</v>
      </c>
      <c r="L9" s="15" t="n">
        <f aca="false">Inputs!$B$5*(1+B9)</f>
        <v>1000</v>
      </c>
      <c r="M9" s="15" t="n">
        <f aca="false">L9*(1+C9)</f>
        <v>1000</v>
      </c>
      <c r="N9" s="15" t="n">
        <f aca="false">M9*(1+D9)</f>
        <v>1000</v>
      </c>
      <c r="O9" s="15" t="n">
        <f aca="false">N9*(1+E9)</f>
        <v>1000</v>
      </c>
      <c r="P9" s="15" t="n">
        <f aca="false">O9*(1+F9)</f>
        <v>1000</v>
      </c>
      <c r="Q9" s="15" t="n">
        <f aca="false">P9*(1+G9)</f>
        <v>1006</v>
      </c>
      <c r="R9" s="15" t="n">
        <f aca="false">Q9*(1+H9)</f>
        <v>1018.072</v>
      </c>
      <c r="S9" s="15" t="n">
        <f aca="false">R9*(1+I9)</f>
        <v>1036.397296</v>
      </c>
      <c r="T9" s="15" t="n">
        <f aca="false">S9*(1+J9)</f>
        <v>1061.270831104</v>
      </c>
      <c r="U9" s="15" t="n">
        <f aca="false">T9*(1+K9)</f>
        <v>1093.10895603712</v>
      </c>
      <c r="V9" s="15" t="n">
        <f aca="false">L9*Inputs!$B$6*(1-Inputs!$B$7)-(L9-Inputs!$B$5)/Inputs!$B$8</f>
        <v>105</v>
      </c>
      <c r="W9" s="15" t="n">
        <f aca="false">M9*Inputs!$B$6*(1-Inputs!$B$7)-(M9-L9)/Inputs!$B$8</f>
        <v>105</v>
      </c>
      <c r="X9" s="15" t="n">
        <f aca="false">N9*Inputs!$B$6*(1-Inputs!$B$7)-(N9-M9)/Inputs!$B$8</f>
        <v>105</v>
      </c>
      <c r="Y9" s="15" t="n">
        <f aca="false">O9*Inputs!$B$6*(1-Inputs!$B$7)-(O9-N9)/Inputs!$B$8</f>
        <v>105</v>
      </c>
      <c r="Z9" s="15" t="n">
        <f aca="false">P9*Inputs!$B$6*(1-Inputs!$B$7)-(P9-O9)/Inputs!$B$8</f>
        <v>105</v>
      </c>
      <c r="AA9" s="15" t="n">
        <f aca="false">Q9*Inputs!$B$6*(1-Inputs!$B$7)-(Q9-P9)/Inputs!$B$8</f>
        <v>100.175454545455</v>
      </c>
      <c r="AB9" s="15" t="n">
        <f aca="false">R9*Inputs!$B$6*(1-Inputs!$B$7)-(R9-Q9)/Inputs!$B$8</f>
        <v>95.9230145454546</v>
      </c>
      <c r="AC9" s="15" t="n">
        <f aca="false">S9*Inputs!$B$6*(1-Inputs!$B$7)-(S9-R9)/Inputs!$B$8</f>
        <v>92.1623560799999</v>
      </c>
      <c r="AD9" s="15" t="n">
        <f aca="false">T9*Inputs!$B$6*(1-Inputs!$B$7)-(T9-S9)/Inputs!$B$8</f>
        <v>88.82113262592</v>
      </c>
      <c r="AE9" s="15" t="n">
        <f aca="false">U9*Inputs!$B$6*(1-Inputs!$B$7)-(U9-T9)/Inputs!$B$8</f>
        <v>85.8326904446975</v>
      </c>
      <c r="AF9" s="33" t="n">
        <f aca="false">(SUMPRODUCT(V9:AE9/(1+Inputs!$B$24)^$B$7:$K$7)+U9*Inputs!$B$6*(1-Inputs!$B$7)*(1+Inputs!$B$17)*(1-Inputs!$B$17/Inputs!$B$18)/(Inputs!$B$24-Inputs!$B$17)/(1+Inputs!$B$24)^$K$7+Inputs!$B$9-Inputs!$B$10)/Inputs!$B$11</f>
        <v>11.62163845931</v>
      </c>
    </row>
    <row r="10" customFormat="false" ht="15" hidden="false" customHeight="false" outlineLevel="0" collapsed="false">
      <c r="A10" s="6" t="n">
        <v>0.02</v>
      </c>
      <c r="B10" s="20" t="n">
        <f aca="false">$A10</f>
        <v>0.02</v>
      </c>
      <c r="C10" s="20" t="n">
        <f aca="false">$A10</f>
        <v>0.02</v>
      </c>
      <c r="D10" s="20" t="n">
        <f aca="false">$A10</f>
        <v>0.02</v>
      </c>
      <c r="E10" s="20" t="n">
        <f aca="false">$A10</f>
        <v>0.02</v>
      </c>
      <c r="F10" s="20" t="n">
        <f aca="false">$A10</f>
        <v>0.02</v>
      </c>
      <c r="G10" s="20" t="n">
        <f aca="false">$A10+(Inputs!$B$17-$A10)*(G$7-5)/5</f>
        <v>0.022</v>
      </c>
      <c r="H10" s="20" t="n">
        <f aca="false">$A10+(Inputs!$B$17-$A10)*(H$7-5)/5</f>
        <v>0.024</v>
      </c>
      <c r="I10" s="20" t="n">
        <f aca="false">$A10+(Inputs!$B$17-$A10)*(I$7-5)/5</f>
        <v>0.026</v>
      </c>
      <c r="J10" s="20" t="n">
        <f aca="false">$A10+(Inputs!$B$17-$A10)*(J$7-5)/5</f>
        <v>0.028</v>
      </c>
      <c r="K10" s="20" t="n">
        <f aca="false">$A10+(Inputs!$B$17-$A10)*(K$7-5)/5</f>
        <v>0.03</v>
      </c>
      <c r="L10" s="15" t="n">
        <f aca="false">Inputs!$B$5*(1+B10)</f>
        <v>1020</v>
      </c>
      <c r="M10" s="15" t="n">
        <f aca="false">L10*(1+C10)</f>
        <v>1040.4</v>
      </c>
      <c r="N10" s="15" t="n">
        <f aca="false">M10*(1+D10)</f>
        <v>1061.208</v>
      </c>
      <c r="O10" s="15" t="n">
        <f aca="false">N10*(1+E10)</f>
        <v>1082.43216</v>
      </c>
      <c r="P10" s="15" t="n">
        <f aca="false">O10*(1+F10)</f>
        <v>1104.0808032</v>
      </c>
      <c r="Q10" s="15" t="n">
        <f aca="false">P10*(1+G10)</f>
        <v>1128.3705808704</v>
      </c>
      <c r="R10" s="15" t="n">
        <f aca="false">Q10*(1+H10)</f>
        <v>1155.45147481129</v>
      </c>
      <c r="S10" s="15" t="n">
        <f aca="false">R10*(1+I10)</f>
        <v>1185.49321315638</v>
      </c>
      <c r="T10" s="15" t="n">
        <f aca="false">S10*(1+J10)</f>
        <v>1218.68702312476</v>
      </c>
      <c r="U10" s="15" t="n">
        <f aca="false">T10*(1+K10)</f>
        <v>1255.24763381851</v>
      </c>
      <c r="V10" s="15" t="n">
        <f aca="false">L10*Inputs!$B$6*(1-Inputs!$B$7)-(L10-Inputs!$B$5)/Inputs!$B$8</f>
        <v>88.9181818181818</v>
      </c>
      <c r="W10" s="15" t="n">
        <f aca="false">M10*Inputs!$B$6*(1-Inputs!$B$7)-(M10-L10)/Inputs!$B$8</f>
        <v>90.6965454545454</v>
      </c>
      <c r="X10" s="15" t="n">
        <f aca="false">N10*Inputs!$B$6*(1-Inputs!$B$7)-(N10-M10)/Inputs!$B$8</f>
        <v>92.5104763636364</v>
      </c>
      <c r="Y10" s="15" t="n">
        <f aca="false">O10*Inputs!$B$6*(1-Inputs!$B$7)-(O10-N10)/Inputs!$B$8</f>
        <v>94.3606858909091</v>
      </c>
      <c r="Z10" s="15" t="n">
        <f aca="false">P10*Inputs!$B$6*(1-Inputs!$B$7)-(P10-O10)/Inputs!$B$8</f>
        <v>96.2478996087273</v>
      </c>
      <c r="AA10" s="15" t="n">
        <f aca="false">Q10*Inputs!$B$6*(1-Inputs!$B$7)-(Q10-P10)/Inputs!$B$8</f>
        <v>96.3972949273919</v>
      </c>
      <c r="AB10" s="15" t="n">
        <f aca="false">R10*Inputs!$B$6*(1-Inputs!$B$7)-(R10-Q10)/Inputs!$B$8</f>
        <v>96.7034103634676</v>
      </c>
      <c r="AC10" s="15" t="n">
        <f aca="false">S10*Inputs!$B$6*(1-Inputs!$B$7)-(S10-R10)/Inputs!$B$8</f>
        <v>97.1661161586079</v>
      </c>
      <c r="AD10" s="15" t="n">
        <f aca="false">T10*Inputs!$B$6*(1-Inputs!$B$7)-(T10-S10)/Inputs!$B$8</f>
        <v>97.7859465477557</v>
      </c>
      <c r="AE10" s="15" t="n">
        <f aca="false">U10*Inputs!$B$6*(1-Inputs!$B$7)-(U10-T10)/Inputs!$B$8</f>
        <v>98.5640827384494</v>
      </c>
      <c r="AF10" s="33" t="n">
        <f aca="false">(SUMPRODUCT(V10:AE10/(1+Inputs!$B$24)^$B$7:$K$7)+U10*Inputs!$B$6*(1-Inputs!$B$7)*(1+Inputs!$B$17)*(1-Inputs!$B$17/Inputs!$B$18)/(Inputs!$B$24-Inputs!$B$17)/(1+Inputs!$B$24)^$K$7+Inputs!$B$9-Inputs!$B$10)/Inputs!$B$11</f>
        <v>12.3922688957885</v>
      </c>
    </row>
    <row r="11" customFormat="false" ht="15" hidden="false" customHeight="false" outlineLevel="0" collapsed="false">
      <c r="A11" s="6" t="n">
        <v>0.04</v>
      </c>
      <c r="B11" s="20" t="n">
        <f aca="false">$A11</f>
        <v>0.04</v>
      </c>
      <c r="C11" s="20" t="n">
        <f aca="false">$A11</f>
        <v>0.04</v>
      </c>
      <c r="D11" s="20" t="n">
        <f aca="false">$A11</f>
        <v>0.04</v>
      </c>
      <c r="E11" s="20" t="n">
        <f aca="false">$A11</f>
        <v>0.04</v>
      </c>
      <c r="F11" s="20" t="n">
        <f aca="false">$A11</f>
        <v>0.04</v>
      </c>
      <c r="G11" s="20" t="n">
        <f aca="false">$A11+(Inputs!$B$17-$A11)*(G$7-5)/5</f>
        <v>0.038</v>
      </c>
      <c r="H11" s="20" t="n">
        <f aca="false">$A11+(Inputs!$B$17-$A11)*(H$7-5)/5</f>
        <v>0.036</v>
      </c>
      <c r="I11" s="20" t="n">
        <f aca="false">$A11+(Inputs!$B$17-$A11)*(I$7-5)/5</f>
        <v>0.034</v>
      </c>
      <c r="J11" s="20" t="n">
        <f aca="false">$A11+(Inputs!$B$17-$A11)*(J$7-5)/5</f>
        <v>0.032</v>
      </c>
      <c r="K11" s="20" t="n">
        <f aca="false">$A11+(Inputs!$B$17-$A11)*(K$7-5)/5</f>
        <v>0.03</v>
      </c>
      <c r="L11" s="15" t="n">
        <f aca="false">Inputs!$B$5*(1+B11)</f>
        <v>1040</v>
      </c>
      <c r="M11" s="15" t="n">
        <f aca="false">L11*(1+C11)</f>
        <v>1081.6</v>
      </c>
      <c r="N11" s="15" t="n">
        <f aca="false">M11*(1+D11)</f>
        <v>1124.864</v>
      </c>
      <c r="O11" s="15" t="n">
        <f aca="false">N11*(1+E11)</f>
        <v>1169.85856</v>
      </c>
      <c r="P11" s="15" t="n">
        <f aca="false">O11*(1+F11)</f>
        <v>1216.6529024</v>
      </c>
      <c r="Q11" s="15" t="n">
        <f aca="false">P11*(1+G11)</f>
        <v>1262.8857126912</v>
      </c>
      <c r="R11" s="15" t="n">
        <f aca="false">Q11*(1+H11)</f>
        <v>1308.34959834808</v>
      </c>
      <c r="S11" s="15" t="n">
        <f aca="false">R11*(1+I11)</f>
        <v>1352.83348469192</v>
      </c>
      <c r="T11" s="15" t="n">
        <f aca="false">S11*(1+J11)</f>
        <v>1396.12415620206</v>
      </c>
      <c r="U11" s="15" t="n">
        <f aca="false">T11*(1+K11)</f>
        <v>1438.00788088812</v>
      </c>
      <c r="V11" s="15" t="n">
        <f aca="false">L11*Inputs!$B$6*(1-Inputs!$B$7)-(L11-Inputs!$B$5)/Inputs!$B$8</f>
        <v>72.8363636363636</v>
      </c>
      <c r="W11" s="15" t="n">
        <f aca="false">M11*Inputs!$B$6*(1-Inputs!$B$7)-(M11-L11)/Inputs!$B$8</f>
        <v>75.7498181818181</v>
      </c>
      <c r="X11" s="15" t="n">
        <f aca="false">N11*Inputs!$B$6*(1-Inputs!$B$7)-(N11-M11)/Inputs!$B$8</f>
        <v>78.7798109090908</v>
      </c>
      <c r="Y11" s="15" t="n">
        <f aca="false">O11*Inputs!$B$6*(1-Inputs!$B$7)-(O11-N11)/Inputs!$B$8</f>
        <v>81.9310033454545</v>
      </c>
      <c r="Z11" s="15" t="n">
        <f aca="false">P11*Inputs!$B$6*(1-Inputs!$B$7)-(P11-O11)/Inputs!$B$8</f>
        <v>85.2082434792727</v>
      </c>
      <c r="AA11" s="15" t="n">
        <f aca="false">Q11*Inputs!$B$6*(1-Inputs!$B$7)-(Q11-P11)/Inputs!$B$8</f>
        <v>90.5731722951214</v>
      </c>
      <c r="AB11" s="15" t="n">
        <f aca="false">R11*Inputs!$B$6*(1-Inputs!$B$7)-(R11-Q11)/Inputs!$B$8</f>
        <v>96.0459026839276</v>
      </c>
      <c r="AC11" s="15" t="n">
        <f aca="false">S11*Inputs!$B$6*(1-Inputs!$B$7)-(S11-R11)/Inputs!$B$8</f>
        <v>101.607619216438</v>
      </c>
      <c r="AD11" s="15" t="n">
        <f aca="false">T11*Inputs!$B$6*(1-Inputs!$B$7)-(T11-S11)/Inputs!$B$8</f>
        <v>107.237880482906</v>
      </c>
      <c r="AE11" s="15" t="n">
        <f aca="false">U11*Inputs!$B$6*(1-Inputs!$B$7)-(U11-T11)/Inputs!$B$8</f>
        <v>112.914714142287</v>
      </c>
      <c r="AF11" s="33" t="n">
        <f aca="false">(SUMPRODUCT(V11:AE11/(1+Inputs!$B$24)^$B$7:$K$7)+U11*Inputs!$B$6*(1-Inputs!$B$7)*(1+Inputs!$B$17)*(1-Inputs!$B$17/Inputs!$B$18)/(Inputs!$B$24-Inputs!$B$17)/(1+Inputs!$B$24)^$K$7+Inputs!$B$9-Inputs!$B$10)/Inputs!$B$11</f>
        <v>13.252731024937</v>
      </c>
    </row>
    <row r="12" customFormat="false" ht="15" hidden="false" customHeight="false" outlineLevel="0" collapsed="false">
      <c r="A12" s="6" t="n">
        <v>0.06</v>
      </c>
      <c r="B12" s="20" t="n">
        <f aca="false">$A12</f>
        <v>0.06</v>
      </c>
      <c r="C12" s="20" t="n">
        <f aca="false">$A12</f>
        <v>0.06</v>
      </c>
      <c r="D12" s="20" t="n">
        <f aca="false">$A12</f>
        <v>0.06</v>
      </c>
      <c r="E12" s="20" t="n">
        <f aca="false">$A12</f>
        <v>0.06</v>
      </c>
      <c r="F12" s="20" t="n">
        <f aca="false">$A12</f>
        <v>0.06</v>
      </c>
      <c r="G12" s="20" t="n">
        <f aca="false">$A12+(Inputs!$B$17-$A12)*(G$7-5)/5</f>
        <v>0.054</v>
      </c>
      <c r="H12" s="20" t="n">
        <f aca="false">$A12+(Inputs!$B$17-$A12)*(H$7-5)/5</f>
        <v>0.048</v>
      </c>
      <c r="I12" s="20" t="n">
        <f aca="false">$A12+(Inputs!$B$17-$A12)*(I$7-5)/5</f>
        <v>0.042</v>
      </c>
      <c r="J12" s="20" t="n">
        <f aca="false">$A12+(Inputs!$B$17-$A12)*(J$7-5)/5</f>
        <v>0.036</v>
      </c>
      <c r="K12" s="20" t="n">
        <f aca="false">$A12+(Inputs!$B$17-$A12)*(K$7-5)/5</f>
        <v>0.03</v>
      </c>
      <c r="L12" s="15" t="n">
        <f aca="false">Inputs!$B$5*(1+B12)</f>
        <v>1060</v>
      </c>
      <c r="M12" s="15" t="n">
        <f aca="false">L12*(1+C12)</f>
        <v>1123.6</v>
      </c>
      <c r="N12" s="15" t="n">
        <f aca="false">M12*(1+D12)</f>
        <v>1191.016</v>
      </c>
      <c r="O12" s="15" t="n">
        <f aca="false">N12*(1+E12)</f>
        <v>1262.47696</v>
      </c>
      <c r="P12" s="15" t="n">
        <f aca="false">O12*(1+F12)</f>
        <v>1338.2255776</v>
      </c>
      <c r="Q12" s="15" t="n">
        <f aca="false">P12*(1+G12)</f>
        <v>1410.4897587904</v>
      </c>
      <c r="R12" s="15" t="n">
        <f aca="false">Q12*(1+H12)</f>
        <v>1478.19326721234</v>
      </c>
      <c r="S12" s="15" t="n">
        <f aca="false">R12*(1+I12)</f>
        <v>1540.27738443526</v>
      </c>
      <c r="T12" s="15" t="n">
        <f aca="false">S12*(1+J12)</f>
        <v>1595.72737027493</v>
      </c>
      <c r="U12" s="15" t="n">
        <f aca="false">T12*(1+K12)</f>
        <v>1643.59919138318</v>
      </c>
      <c r="V12" s="15" t="n">
        <f aca="false">L12*Inputs!$B$6*(1-Inputs!$B$7)-(L12-Inputs!$B$5)/Inputs!$B$8</f>
        <v>56.7545454545455</v>
      </c>
      <c r="W12" s="15" t="n">
        <f aca="false">M12*Inputs!$B$6*(1-Inputs!$B$7)-(M12-L12)/Inputs!$B$8</f>
        <v>60.1598181818181</v>
      </c>
      <c r="X12" s="15" t="n">
        <f aca="false">N12*Inputs!$B$6*(1-Inputs!$B$7)-(N12-M12)/Inputs!$B$8</f>
        <v>63.7694072727271</v>
      </c>
      <c r="Y12" s="15" t="n">
        <f aca="false">O12*Inputs!$B$6*(1-Inputs!$B$7)-(O12-N12)/Inputs!$B$8</f>
        <v>67.5955717090909</v>
      </c>
      <c r="Z12" s="15" t="n">
        <f aca="false">P12*Inputs!$B$6*(1-Inputs!$B$7)-(P12-O12)/Inputs!$B$8</f>
        <v>71.6513060116364</v>
      </c>
      <c r="AA12" s="15" t="n">
        <f aca="false">Q12*Inputs!$B$6*(1-Inputs!$B$7)-(Q12-P12)/Inputs!$B$8</f>
        <v>82.4067144999011</v>
      </c>
      <c r="AB12" s="15" t="n">
        <f aca="false">R12*Inputs!$B$6*(1-Inputs!$B$7)-(R12-Q12)/Inputs!$B$8</f>
        <v>93.6616490373509</v>
      </c>
      <c r="AC12" s="15" t="n">
        <f aca="false">S12*Inputs!$B$6*(1-Inputs!$B$7)-(S12-R12)/Inputs!$B$8</f>
        <v>105.289018799413</v>
      </c>
      <c r="AD12" s="15" t="n">
        <f aca="false">T12*Inputs!$B$6*(1-Inputs!$B$7)-(T12-S12)/Inputs!$B$8</f>
        <v>117.142295842804</v>
      </c>
      <c r="AE12" s="15" t="n">
        <f aca="false">U12*Inputs!$B$6*(1-Inputs!$B$7)-(U12-T12)/Inputs!$B$8</f>
        <v>129.058077724099</v>
      </c>
      <c r="AF12" s="33" t="n">
        <f aca="false">(SUMPRODUCT(V12:AE12/(1+Inputs!$B$24)^$B$7:$K$7)+U12*Inputs!$B$6*(1-Inputs!$B$7)*(1+Inputs!$B$17)*(1-Inputs!$B$17/Inputs!$B$18)/(Inputs!$B$24-Inputs!$B$17)/(1+Inputs!$B$24)^$K$7+Inputs!$B$9-Inputs!$B$10)/Inputs!$B$11</f>
        <v>14.2121960092294</v>
      </c>
    </row>
    <row r="13" customFormat="false" ht="15" hidden="false" customHeight="false" outlineLevel="0" collapsed="false">
      <c r="A13" s="6" t="n">
        <v>0.08</v>
      </c>
      <c r="B13" s="20" t="n">
        <f aca="false">$A13</f>
        <v>0.08</v>
      </c>
      <c r="C13" s="20" t="n">
        <f aca="false">$A13</f>
        <v>0.08</v>
      </c>
      <c r="D13" s="20" t="n">
        <f aca="false">$A13</f>
        <v>0.08</v>
      </c>
      <c r="E13" s="20" t="n">
        <f aca="false">$A13</f>
        <v>0.08</v>
      </c>
      <c r="F13" s="20" t="n">
        <f aca="false">$A13</f>
        <v>0.08</v>
      </c>
      <c r="G13" s="20" t="n">
        <f aca="false">$A13+(Inputs!$B$17-$A13)*(G$7-5)/5</f>
        <v>0.07</v>
      </c>
      <c r="H13" s="20" t="n">
        <f aca="false">$A13+(Inputs!$B$17-$A13)*(H$7-5)/5</f>
        <v>0.06</v>
      </c>
      <c r="I13" s="20" t="n">
        <f aca="false">$A13+(Inputs!$B$17-$A13)*(I$7-5)/5</f>
        <v>0.05</v>
      </c>
      <c r="J13" s="20" t="n">
        <f aca="false">$A13+(Inputs!$B$17-$A13)*(J$7-5)/5</f>
        <v>0.04</v>
      </c>
      <c r="K13" s="20" t="n">
        <f aca="false">$A13+(Inputs!$B$17-$A13)*(K$7-5)/5</f>
        <v>0.03</v>
      </c>
      <c r="L13" s="15" t="n">
        <f aca="false">Inputs!$B$5*(1+B13)</f>
        <v>1080</v>
      </c>
      <c r="M13" s="15" t="n">
        <f aca="false">L13*(1+C13)</f>
        <v>1166.4</v>
      </c>
      <c r="N13" s="15" t="n">
        <f aca="false">M13*(1+D13)</f>
        <v>1259.712</v>
      </c>
      <c r="O13" s="15" t="n">
        <f aca="false">N13*(1+E13)</f>
        <v>1360.48896</v>
      </c>
      <c r="P13" s="15" t="n">
        <f aca="false">O13*(1+F13)</f>
        <v>1469.3280768</v>
      </c>
      <c r="Q13" s="15" t="n">
        <f aca="false">P13*(1+G13)</f>
        <v>1572.181042176</v>
      </c>
      <c r="R13" s="15" t="n">
        <f aca="false">Q13*(1+H13)</f>
        <v>1666.51190470656</v>
      </c>
      <c r="S13" s="15" t="n">
        <f aca="false">R13*(1+I13)</f>
        <v>1749.83749994189</v>
      </c>
      <c r="T13" s="15" t="n">
        <f aca="false">S13*(1+J13)</f>
        <v>1819.83099993956</v>
      </c>
      <c r="U13" s="15" t="n">
        <f aca="false">T13*(1+K13)</f>
        <v>1874.42592993775</v>
      </c>
      <c r="V13" s="15" t="n">
        <f aca="false">L13*Inputs!$B$6*(1-Inputs!$B$7)-(L13-Inputs!$B$5)/Inputs!$B$8</f>
        <v>40.6727272727273</v>
      </c>
      <c r="W13" s="15" t="n">
        <f aca="false">M13*Inputs!$B$6*(1-Inputs!$B$7)-(M13-L13)/Inputs!$B$8</f>
        <v>43.9265454545454</v>
      </c>
      <c r="X13" s="15" t="n">
        <f aca="false">N13*Inputs!$B$6*(1-Inputs!$B$7)-(N13-M13)/Inputs!$B$8</f>
        <v>47.440669090909</v>
      </c>
      <c r="Y13" s="15" t="n">
        <f aca="false">O13*Inputs!$B$6*(1-Inputs!$B$7)-(O13-N13)/Inputs!$B$8</f>
        <v>51.2359226181817</v>
      </c>
      <c r="Z13" s="15" t="n">
        <f aca="false">P13*Inputs!$B$6*(1-Inputs!$B$7)-(P13-O13)/Inputs!$B$8</f>
        <v>55.3347964276364</v>
      </c>
      <c r="AA13" s="15" t="n">
        <f aca="false">Q13*Inputs!$B$6*(1-Inputs!$B$7)-(Q13-P13)/Inputs!$B$8</f>
        <v>71.5763136321163</v>
      </c>
      <c r="AB13" s="15" t="n">
        <f aca="false">R13*Inputs!$B$6*(1-Inputs!$B$7)-(R13-Q13)/Inputs!$B$8</f>
        <v>89.2284204209524</v>
      </c>
      <c r="AC13" s="15" t="n">
        <f aca="false">S13*Inputs!$B$6*(1-Inputs!$B$7)-(S13-R13)/Inputs!$B$8</f>
        <v>107.982396370873</v>
      </c>
      <c r="AD13" s="15" t="n">
        <f aca="false">T13*Inputs!$B$6*(1-Inputs!$B$7)-(T13-S13)/Inputs!$B$8</f>
        <v>127.451800450313</v>
      </c>
      <c r="AE13" s="15" t="n">
        <f aca="false">U13*Inputs!$B$6*(1-Inputs!$B$7)-(U13-T13)/Inputs!$B$8</f>
        <v>147.182968099658</v>
      </c>
      <c r="AF13" s="33" t="n">
        <f aca="false">(SUMPRODUCT(V13:AE13/(1+Inputs!$B$24)^$B$7:$K$7)+U13*Inputs!$B$6*(1-Inputs!$B$7)*(1+Inputs!$B$17)*(1-Inputs!$B$17/Inputs!$B$18)/(Inputs!$B$24-Inputs!$B$17)/(1+Inputs!$B$24)^$K$7+Inputs!$B$9-Inputs!$B$10)/Inputs!$B$11</f>
        <v>15.2806175948695</v>
      </c>
    </row>
    <row r="14" customFormat="false" ht="15" hidden="false" customHeight="false" outlineLevel="0" collapsed="false">
      <c r="A14" s="6" t="n">
        <v>0.1</v>
      </c>
      <c r="B14" s="20" t="n">
        <f aca="false">$A14</f>
        <v>0.1</v>
      </c>
      <c r="C14" s="20" t="n">
        <f aca="false">$A14</f>
        <v>0.1</v>
      </c>
      <c r="D14" s="20" t="n">
        <f aca="false">$A14</f>
        <v>0.1</v>
      </c>
      <c r="E14" s="20" t="n">
        <f aca="false">$A14</f>
        <v>0.1</v>
      </c>
      <c r="F14" s="20" t="n">
        <f aca="false">$A14</f>
        <v>0.1</v>
      </c>
      <c r="G14" s="20" t="n">
        <f aca="false">$A14+(Inputs!$B$17-$A14)*(G$7-5)/5</f>
        <v>0.086</v>
      </c>
      <c r="H14" s="20" t="n">
        <f aca="false">$A14+(Inputs!$B$17-$A14)*(H$7-5)/5</f>
        <v>0.072</v>
      </c>
      <c r="I14" s="20" t="n">
        <f aca="false">$A14+(Inputs!$B$17-$A14)*(I$7-5)/5</f>
        <v>0.058</v>
      </c>
      <c r="J14" s="20" t="n">
        <f aca="false">$A14+(Inputs!$B$17-$A14)*(J$7-5)/5</f>
        <v>0.044</v>
      </c>
      <c r="K14" s="20" t="n">
        <f aca="false">$A14+(Inputs!$B$17-$A14)*(K$7-5)/5</f>
        <v>0.03</v>
      </c>
      <c r="L14" s="15" t="n">
        <f aca="false">Inputs!$B$5*(1+B14)</f>
        <v>1100</v>
      </c>
      <c r="M14" s="15" t="n">
        <f aca="false">L14*(1+C14)</f>
        <v>1210</v>
      </c>
      <c r="N14" s="15" t="n">
        <f aca="false">M14*(1+D14)</f>
        <v>1331</v>
      </c>
      <c r="O14" s="15" t="n">
        <f aca="false">N14*(1+E14)</f>
        <v>1464.1</v>
      </c>
      <c r="P14" s="15" t="n">
        <f aca="false">O14*(1+F14)</f>
        <v>1610.51</v>
      </c>
      <c r="Q14" s="15" t="n">
        <f aca="false">P14*(1+G14)</f>
        <v>1749.01386</v>
      </c>
      <c r="R14" s="15" t="n">
        <f aca="false">Q14*(1+H14)</f>
        <v>1874.94285792</v>
      </c>
      <c r="S14" s="15" t="n">
        <f aca="false">R14*(1+I14)</f>
        <v>1983.68954367936</v>
      </c>
      <c r="T14" s="15" t="n">
        <f aca="false">S14*(1+J14)</f>
        <v>2070.97188360125</v>
      </c>
      <c r="U14" s="15" t="n">
        <f aca="false">T14*(1+K14)</f>
        <v>2133.10104010929</v>
      </c>
      <c r="V14" s="15" t="n">
        <f aca="false">L14*Inputs!$B$6*(1-Inputs!$B$7)-(L14-Inputs!$B$5)/Inputs!$B$8</f>
        <v>24.5909090909091</v>
      </c>
      <c r="W14" s="15" t="n">
        <f aca="false">M14*Inputs!$B$6*(1-Inputs!$B$7)-(M14-L14)/Inputs!$B$8</f>
        <v>27.05</v>
      </c>
      <c r="X14" s="15" t="n">
        <f aca="false">N14*Inputs!$B$6*(1-Inputs!$B$7)-(N14-M14)/Inputs!$B$8</f>
        <v>29.755</v>
      </c>
      <c r="Y14" s="15" t="n">
        <f aca="false">O14*Inputs!$B$6*(1-Inputs!$B$7)-(O14-N14)/Inputs!$B$8</f>
        <v>32.7304999999999</v>
      </c>
      <c r="Z14" s="15" t="n">
        <f aca="false">P14*Inputs!$B$6*(1-Inputs!$B$7)-(P14-O14)/Inputs!$B$8</f>
        <v>36.0035499999999</v>
      </c>
      <c r="AA14" s="15" t="n">
        <f aca="false">Q14*Inputs!$B$6*(1-Inputs!$B$7)-(Q14-P14)/Inputs!$B$8</f>
        <v>57.7338553</v>
      </c>
      <c r="AB14" s="15" t="n">
        <f aca="false">R14*Inputs!$B$6*(1-Inputs!$B$7)-(R14-Q14)/Inputs!$B$8</f>
        <v>82.3880928816</v>
      </c>
      <c r="AC14" s="15" t="n">
        <f aca="false">S14*Inputs!$B$6*(1-Inputs!$B$7)-(S14-R14)/Inputs!$B$8</f>
        <v>109.426778668733</v>
      </c>
      <c r="AD14" s="15" t="n">
        <f aca="false">T14*Inputs!$B$6*(1-Inputs!$B$7)-(T14-S14)/Inputs!$B$8</f>
        <v>138.104466030957</v>
      </c>
      <c r="AE14" s="15" t="n">
        <f aca="false">U14*Inputs!$B$6*(1-Inputs!$B$7)-(U14-T14)/Inputs!$B$8</f>
        <v>167.494557840532</v>
      </c>
      <c r="AF14" s="33" t="n">
        <f aca="false">(SUMPRODUCT(V14:AE14/(1+Inputs!$B$24)^$B$7:$K$7)+U14*Inputs!$B$6*(1-Inputs!$B$7)*(1+Inputs!$B$17)*(1-Inputs!$B$17/Inputs!$B$18)/(Inputs!$B$24-Inputs!$B$17)/(1+Inputs!$B$24)^$K$7+Inputs!$B$9-Inputs!$B$10)/Inputs!$B$11</f>
        <v>16.4687857749642</v>
      </c>
    </row>
    <row r="15" customFormat="false" ht="15" hidden="false" customHeight="false" outlineLevel="0" collapsed="false">
      <c r="A15" s="6" t="n">
        <v>0.12</v>
      </c>
      <c r="B15" s="20" t="n">
        <f aca="false">$A15</f>
        <v>0.12</v>
      </c>
      <c r="C15" s="20" t="n">
        <f aca="false">$A15</f>
        <v>0.12</v>
      </c>
      <c r="D15" s="20" t="n">
        <f aca="false">$A15</f>
        <v>0.12</v>
      </c>
      <c r="E15" s="20" t="n">
        <f aca="false">$A15</f>
        <v>0.12</v>
      </c>
      <c r="F15" s="20" t="n">
        <f aca="false">$A15</f>
        <v>0.12</v>
      </c>
      <c r="G15" s="20" t="n">
        <f aca="false">$A15+(Inputs!$B$17-$A15)*(G$7-5)/5</f>
        <v>0.102</v>
      </c>
      <c r="H15" s="20" t="n">
        <f aca="false">$A15+(Inputs!$B$17-$A15)*(H$7-5)/5</f>
        <v>0.084</v>
      </c>
      <c r="I15" s="20" t="n">
        <f aca="false">$A15+(Inputs!$B$17-$A15)*(I$7-5)/5</f>
        <v>0.066</v>
      </c>
      <c r="J15" s="20" t="n">
        <f aca="false">$A15+(Inputs!$B$17-$A15)*(J$7-5)/5</f>
        <v>0.048</v>
      </c>
      <c r="K15" s="20" t="n">
        <f aca="false">$A15+(Inputs!$B$17-$A15)*(K$7-5)/5</f>
        <v>0.03</v>
      </c>
      <c r="L15" s="15" t="n">
        <f aca="false">Inputs!$B$5*(1+B15)</f>
        <v>1120</v>
      </c>
      <c r="M15" s="15" t="n">
        <f aca="false">L15*(1+C15)</f>
        <v>1254.4</v>
      </c>
      <c r="N15" s="15" t="n">
        <f aca="false">M15*(1+D15)</f>
        <v>1404.928</v>
      </c>
      <c r="O15" s="15" t="n">
        <f aca="false">N15*(1+E15)</f>
        <v>1573.51936</v>
      </c>
      <c r="P15" s="15" t="n">
        <f aca="false">O15*(1+F15)</f>
        <v>1762.3416832</v>
      </c>
      <c r="Q15" s="15" t="n">
        <f aca="false">P15*(1+G15)</f>
        <v>1942.1005348864</v>
      </c>
      <c r="R15" s="15" t="n">
        <f aca="false">Q15*(1+H15)</f>
        <v>2105.23697981686</v>
      </c>
      <c r="S15" s="15" t="n">
        <f aca="false">R15*(1+I15)</f>
        <v>2244.18262048477</v>
      </c>
      <c r="T15" s="15" t="n">
        <f aca="false">S15*(1+J15)</f>
        <v>2351.90338626804</v>
      </c>
      <c r="U15" s="15" t="n">
        <f aca="false">T15*(1+K15)</f>
        <v>2422.46048785608</v>
      </c>
      <c r="V15" s="15" t="n">
        <f aca="false">L15*Inputs!$B$6*(1-Inputs!$B$7)-(L15-Inputs!$B$5)/Inputs!$B$8</f>
        <v>8.50909090909092</v>
      </c>
      <c r="W15" s="15" t="n">
        <f aca="false">M15*Inputs!$B$6*(1-Inputs!$B$7)-(M15-L15)/Inputs!$B$8</f>
        <v>9.53018181818173</v>
      </c>
      <c r="X15" s="15" t="n">
        <f aca="false">N15*Inputs!$B$6*(1-Inputs!$B$7)-(N15-M15)/Inputs!$B$8</f>
        <v>10.6738036363634</v>
      </c>
      <c r="Y15" s="15" t="n">
        <f aca="false">O15*Inputs!$B$6*(1-Inputs!$B$7)-(O15-N15)/Inputs!$B$8</f>
        <v>11.9546600727272</v>
      </c>
      <c r="Z15" s="15" t="n">
        <f aca="false">P15*Inputs!$B$6*(1-Inputs!$B$7)-(P15-O15)/Inputs!$B$8</f>
        <v>13.3892192814544</v>
      </c>
      <c r="AA15" s="15" t="n">
        <f aca="false">Q15*Inputs!$B$6*(1-Inputs!$B$7)-(Q15-P15)/Inputs!$B$8</f>
        <v>40.5034182663446</v>
      </c>
      <c r="AB15" s="15" t="n">
        <f aca="false">R15*Inputs!$B$6*(1-Inputs!$B$7)-(R15-Q15)/Inputs!$B$8</f>
        <v>72.7440238530813</v>
      </c>
      <c r="AC15" s="15" t="n">
        <f aca="false">S15*Inputs!$B$6*(1-Inputs!$B$7)-(S15-R15)/Inputs!$B$8</f>
        <v>109.324956361889</v>
      </c>
      <c r="AD15" s="15" t="n">
        <f aca="false">T15*Inputs!$B$6*(1-Inputs!$B$7)-(T15-S15)/Inputs!$B$8</f>
        <v>149.021886664263</v>
      </c>
      <c r="AE15" s="15" t="n">
        <f aca="false">U15*Inputs!$B$6*(1-Inputs!$B$7)-(U15-T15)/Inputs!$B$8</f>
        <v>190.215531599396</v>
      </c>
      <c r="AF15" s="33" t="n">
        <f aca="false">(SUMPRODUCT(V15:AE15/(1+Inputs!$B$24)^$B$7:$K$7)+U15*Inputs!$B$6*(1-Inputs!$B$7)*(1+Inputs!$B$17)*(1-Inputs!$B$17/Inputs!$B$18)/(Inputs!$B$24-Inputs!$B$17)/(1+Inputs!$B$24)^$K$7+Inputs!$B$9-Inputs!$B$10)/Inputs!$B$11</f>
        <v>17.7883832693814</v>
      </c>
    </row>
    <row r="16" customFormat="false" ht="15" hidden="false" customHeight="false" outlineLevel="0" collapsed="false">
      <c r="A16" s="6" t="n">
        <v>0.14</v>
      </c>
      <c r="B16" s="20" t="n">
        <f aca="false">$A16</f>
        <v>0.14</v>
      </c>
      <c r="C16" s="20" t="n">
        <f aca="false">$A16</f>
        <v>0.14</v>
      </c>
      <c r="D16" s="20" t="n">
        <f aca="false">$A16</f>
        <v>0.14</v>
      </c>
      <c r="E16" s="20" t="n">
        <f aca="false">$A16</f>
        <v>0.14</v>
      </c>
      <c r="F16" s="20" t="n">
        <f aca="false">$A16</f>
        <v>0.14</v>
      </c>
      <c r="G16" s="20" t="n">
        <f aca="false">$A16+(Inputs!$B$17-$A16)*(G$7-5)/5</f>
        <v>0.118</v>
      </c>
      <c r="H16" s="20" t="n">
        <f aca="false">$A16+(Inputs!$B$17-$A16)*(H$7-5)/5</f>
        <v>0.096</v>
      </c>
      <c r="I16" s="20" t="n">
        <f aca="false">$A16+(Inputs!$B$17-$A16)*(I$7-5)/5</f>
        <v>0.074</v>
      </c>
      <c r="J16" s="20" t="n">
        <f aca="false">$A16+(Inputs!$B$17-$A16)*(J$7-5)/5</f>
        <v>0.052</v>
      </c>
      <c r="K16" s="20" t="n">
        <f aca="false">$A16+(Inputs!$B$17-$A16)*(K$7-5)/5</f>
        <v>0.03</v>
      </c>
      <c r="L16" s="15" t="n">
        <f aca="false">Inputs!$B$5*(1+B16)</f>
        <v>1140</v>
      </c>
      <c r="M16" s="15" t="n">
        <f aca="false">L16*(1+C16)</f>
        <v>1299.6</v>
      </c>
      <c r="N16" s="15" t="n">
        <f aca="false">M16*(1+D16)</f>
        <v>1481.544</v>
      </c>
      <c r="O16" s="15" t="n">
        <f aca="false">N16*(1+E16)</f>
        <v>1688.96016</v>
      </c>
      <c r="P16" s="15" t="n">
        <f aca="false">O16*(1+F16)</f>
        <v>1925.4145824</v>
      </c>
      <c r="Q16" s="15" t="n">
        <f aca="false">P16*(1+G16)</f>
        <v>2152.6135031232</v>
      </c>
      <c r="R16" s="15" t="n">
        <f aca="false">Q16*(1+H16)</f>
        <v>2359.26439942303</v>
      </c>
      <c r="S16" s="15" t="n">
        <f aca="false">R16*(1+I16)</f>
        <v>2533.84996498033</v>
      </c>
      <c r="T16" s="15" t="n">
        <f aca="false">S16*(1+J16)</f>
        <v>2665.61016315931</v>
      </c>
      <c r="U16" s="15" t="n">
        <f aca="false">T16*(1+K16)</f>
        <v>2745.57846805409</v>
      </c>
      <c r="V16" s="15" t="n">
        <f aca="false">L16*Inputs!$B$6*(1-Inputs!$B$7)-(L16-Inputs!$B$5)/Inputs!$B$8</f>
        <v>-7.57272727272745</v>
      </c>
      <c r="W16" s="15" t="n">
        <f aca="false">M16*Inputs!$B$6*(1-Inputs!$B$7)-(M16-L16)/Inputs!$B$8</f>
        <v>-8.63290909090918</v>
      </c>
      <c r="X16" s="15" t="n">
        <f aca="false">N16*Inputs!$B$6*(1-Inputs!$B$7)-(N16-M16)/Inputs!$B$8</f>
        <v>-9.84151636363646</v>
      </c>
      <c r="Y16" s="15" t="n">
        <f aca="false">O16*Inputs!$B$6*(1-Inputs!$B$7)-(O16-N16)/Inputs!$B$8</f>
        <v>-11.2193286545456</v>
      </c>
      <c r="Z16" s="15" t="n">
        <f aca="false">P16*Inputs!$B$6*(1-Inputs!$B$7)-(P16-O16)/Inputs!$B$8</f>
        <v>-12.790034666182</v>
      </c>
      <c r="AA16" s="15" t="n">
        <f aca="false">Q16*Inputs!$B$6*(1-Inputs!$B$7)-(Q16-P16)/Inputs!$B$8</f>
        <v>19.4799444432085</v>
      </c>
      <c r="AB16" s="15" t="n">
        <f aca="false">R16*Inputs!$B$6*(1-Inputs!$B$7)-(R16-Q16)/Inputs!$B$8</f>
        <v>59.8583107577568</v>
      </c>
      <c r="AC16" s="15" t="n">
        <f aca="false">S16*Inputs!$B$6*(1-Inputs!$B$7)-(S16-R16)/Inputs!$B$8</f>
        <v>107.340095816295</v>
      </c>
      <c r="AD16" s="15" t="n">
        <f aca="false">T16*Inputs!$B$6*(1-Inputs!$B$7)-(T16-S16)/Inputs!$B$8</f>
        <v>160.107068787203</v>
      </c>
      <c r="AE16" s="15" t="n">
        <f aca="false">U16*Inputs!$B$6*(1-Inputs!$B$7)-(U16-T16)/Inputs!$B$8</f>
        <v>215.587280150425</v>
      </c>
      <c r="AF16" s="33" t="n">
        <f aca="false">(SUMPRODUCT(V16:AE16/(1+Inputs!$B$24)^$B$7:$K$7)+U16*Inputs!$B$6*(1-Inputs!$B$7)*(1+Inputs!$B$17)*(1-Inputs!$B$17/Inputs!$B$18)/(Inputs!$B$24-Inputs!$B$17)/(1+Inputs!$B$24)^$K$7+Inputs!$B$9-Inputs!$B$10)/Inputs!$B$11</f>
        <v>19.2520449265454</v>
      </c>
    </row>
    <row r="17" customFormat="false" ht="15" hidden="false" customHeight="false" outlineLevel="0" collapsed="false">
      <c r="A17" s="6" t="n">
        <v>0.16</v>
      </c>
      <c r="B17" s="20" t="n">
        <f aca="false">$A17</f>
        <v>0.16</v>
      </c>
      <c r="C17" s="20" t="n">
        <f aca="false">$A17</f>
        <v>0.16</v>
      </c>
      <c r="D17" s="20" t="n">
        <f aca="false">$A17</f>
        <v>0.16</v>
      </c>
      <c r="E17" s="20" t="n">
        <f aca="false">$A17</f>
        <v>0.16</v>
      </c>
      <c r="F17" s="20" t="n">
        <f aca="false">$A17</f>
        <v>0.16</v>
      </c>
      <c r="G17" s="20" t="n">
        <f aca="false">$A17+(Inputs!$B$17-$A17)*(G$7-5)/5</f>
        <v>0.134</v>
      </c>
      <c r="H17" s="20" t="n">
        <f aca="false">$A17+(Inputs!$B$17-$A17)*(H$7-5)/5</f>
        <v>0.108</v>
      </c>
      <c r="I17" s="20" t="n">
        <f aca="false">$A17+(Inputs!$B$17-$A17)*(I$7-5)/5</f>
        <v>0.082</v>
      </c>
      <c r="J17" s="20" t="n">
        <f aca="false">$A17+(Inputs!$B$17-$A17)*(J$7-5)/5</f>
        <v>0.056</v>
      </c>
      <c r="K17" s="20" t="n">
        <f aca="false">$A17+(Inputs!$B$17-$A17)*(K$7-5)/5</f>
        <v>0.03</v>
      </c>
      <c r="L17" s="15" t="n">
        <f aca="false">Inputs!$B$5*(1+B17)</f>
        <v>1160</v>
      </c>
      <c r="M17" s="15" t="n">
        <f aca="false">L17*(1+C17)</f>
        <v>1345.6</v>
      </c>
      <c r="N17" s="15" t="n">
        <f aca="false">M17*(1+D17)</f>
        <v>1560.896</v>
      </c>
      <c r="O17" s="15" t="n">
        <f aca="false">N17*(1+E17)</f>
        <v>1810.63936</v>
      </c>
      <c r="P17" s="15" t="n">
        <f aca="false">O17*(1+F17)</f>
        <v>2100.3416576</v>
      </c>
      <c r="Q17" s="15" t="n">
        <f aca="false">P17*(1+G17)</f>
        <v>2381.7874397184</v>
      </c>
      <c r="R17" s="15" t="n">
        <f aca="false">Q17*(1+H17)</f>
        <v>2639.02048320799</v>
      </c>
      <c r="S17" s="15" t="n">
        <f aca="false">R17*(1+I17)</f>
        <v>2855.42016283104</v>
      </c>
      <c r="T17" s="15" t="n">
        <f aca="false">S17*(1+J17)</f>
        <v>3015.32369194958</v>
      </c>
      <c r="U17" s="15" t="n">
        <f aca="false">T17*(1+K17)</f>
        <v>3105.78340270807</v>
      </c>
      <c r="V17" s="15" t="n">
        <f aca="false">L17*Inputs!$B$6*(1-Inputs!$B$7)-(L17-Inputs!$B$5)/Inputs!$B$8</f>
        <v>-23.6545454545454</v>
      </c>
      <c r="W17" s="15" t="n">
        <f aca="false">M17*Inputs!$B$6*(1-Inputs!$B$7)-(M17-L17)/Inputs!$B$8</f>
        <v>-27.4392727272727</v>
      </c>
      <c r="X17" s="15" t="n">
        <f aca="false">N17*Inputs!$B$6*(1-Inputs!$B$7)-(N17-M17)/Inputs!$B$8</f>
        <v>-31.8295563636362</v>
      </c>
      <c r="Y17" s="15" t="n">
        <f aca="false">O17*Inputs!$B$6*(1-Inputs!$B$7)-(O17-N17)/Inputs!$B$8</f>
        <v>-36.9222853818182</v>
      </c>
      <c r="Z17" s="15" t="n">
        <f aca="false">P17*Inputs!$B$6*(1-Inputs!$B$7)-(P17-O17)/Inputs!$B$8</f>
        <v>-42.829851042909</v>
      </c>
      <c r="AA17" s="15" t="n">
        <f aca="false">Q17*Inputs!$B$6*(1-Inputs!$B$7)-(Q17-P17)/Inputs!$B$8</f>
        <v>-5.77212075538594</v>
      </c>
      <c r="AB17" s="15" t="n">
        <f aca="false">R17*Inputs!$B$6*(1-Inputs!$B$7)-(R17-Q17)/Inputs!$B$8</f>
        <v>43.2489293826681</v>
      </c>
      <c r="AC17" s="15" t="n">
        <f aca="false">S17*Inputs!$B$6*(1-Inputs!$B$7)-(S17-R17)/Inputs!$B$8</f>
        <v>103.092135621755</v>
      </c>
      <c r="AD17" s="15" t="n">
        <f aca="false">T17*Inputs!$B$6*(1-Inputs!$B$7)-(T17-S17)/Inputs!$B$8</f>
        <v>171.242143001489</v>
      </c>
      <c r="AE17" s="15" t="n">
        <f aca="false">U17*Inputs!$B$6*(1-Inputs!$B$7)-(U17-T17)/Inputs!$B$8</f>
        <v>243.871156594813</v>
      </c>
      <c r="AF17" s="33" t="n">
        <f aca="false">(SUMPRODUCT(V17:AE17/(1+Inputs!$B$24)^$B$7:$K$7)+U17*Inputs!$B$6*(1-Inputs!$B$7)*(1+Inputs!$B$17)*(1-Inputs!$B$17/Inputs!$B$18)/(Inputs!$B$24-Inputs!$B$17)/(1+Inputs!$B$24)^$K$7+Inputs!$B$9-Inputs!$B$10)/Inputs!$B$11</f>
        <v>20.8734201548826</v>
      </c>
    </row>
    <row r="18" customFormat="false" ht="15" hidden="false" customHeight="false" outlineLevel="0" collapsed="false">
      <c r="A18" s="6" t="n">
        <v>0.18</v>
      </c>
      <c r="B18" s="20" t="n">
        <f aca="false">$A18</f>
        <v>0.18</v>
      </c>
      <c r="C18" s="20" t="n">
        <f aca="false">$A18</f>
        <v>0.18</v>
      </c>
      <c r="D18" s="20" t="n">
        <f aca="false">$A18</f>
        <v>0.18</v>
      </c>
      <c r="E18" s="20" t="n">
        <f aca="false">$A18</f>
        <v>0.18</v>
      </c>
      <c r="F18" s="20" t="n">
        <f aca="false">$A18</f>
        <v>0.18</v>
      </c>
      <c r="G18" s="20" t="n">
        <f aca="false">$A18+(Inputs!$B$17-$A18)*(G$7-5)/5</f>
        <v>0.15</v>
      </c>
      <c r="H18" s="20" t="n">
        <f aca="false">$A18+(Inputs!$B$17-$A18)*(H$7-5)/5</f>
        <v>0.12</v>
      </c>
      <c r="I18" s="20" t="n">
        <f aca="false">$A18+(Inputs!$B$17-$A18)*(I$7-5)/5</f>
        <v>0.09</v>
      </c>
      <c r="J18" s="20" t="n">
        <f aca="false">$A18+(Inputs!$B$17-$A18)*(J$7-5)/5</f>
        <v>0.06</v>
      </c>
      <c r="K18" s="20" t="n">
        <f aca="false">$A18+(Inputs!$B$17-$A18)*(K$7-5)/5</f>
        <v>0.03</v>
      </c>
      <c r="L18" s="15" t="n">
        <f aca="false">Inputs!$B$5*(1+B18)</f>
        <v>1180</v>
      </c>
      <c r="M18" s="15" t="n">
        <f aca="false">L18*(1+C18)</f>
        <v>1392.4</v>
      </c>
      <c r="N18" s="15" t="n">
        <f aca="false">M18*(1+D18)</f>
        <v>1643.032</v>
      </c>
      <c r="O18" s="15" t="n">
        <f aca="false">N18*(1+E18)</f>
        <v>1938.77776</v>
      </c>
      <c r="P18" s="15" t="n">
        <f aca="false">O18*(1+F18)</f>
        <v>2287.7577568</v>
      </c>
      <c r="Q18" s="15" t="n">
        <f aca="false">P18*(1+G18)</f>
        <v>2630.92142032</v>
      </c>
      <c r="R18" s="15" t="n">
        <f aca="false">Q18*(1+H18)</f>
        <v>2946.6319907584</v>
      </c>
      <c r="S18" s="15" t="n">
        <f aca="false">R18*(1+I18)</f>
        <v>3211.82886992666</v>
      </c>
      <c r="T18" s="15" t="n">
        <f aca="false">S18*(1+J18)</f>
        <v>3404.53860212226</v>
      </c>
      <c r="U18" s="15" t="n">
        <f aca="false">T18*(1+K18)</f>
        <v>3506.67476018592</v>
      </c>
      <c r="V18" s="15" t="n">
        <f aca="false">L18*Inputs!$B$6*(1-Inputs!$B$7)-(L18-Inputs!$B$5)/Inputs!$B$8</f>
        <v>-39.7363636363636</v>
      </c>
      <c r="W18" s="15" t="n">
        <f aca="false">M18*Inputs!$B$6*(1-Inputs!$B$7)-(M18-L18)/Inputs!$B$8</f>
        <v>-46.888909090909</v>
      </c>
      <c r="X18" s="15" t="n">
        <f aca="false">N18*Inputs!$B$6*(1-Inputs!$B$7)-(N18-M18)/Inputs!$B$8</f>
        <v>-55.3289127272726</v>
      </c>
      <c r="Y18" s="15" t="n">
        <f aca="false">O18*Inputs!$B$6*(1-Inputs!$B$7)-(O18-N18)/Inputs!$B$8</f>
        <v>-65.2881170181817</v>
      </c>
      <c r="Z18" s="15" t="n">
        <f aca="false">P18*Inputs!$B$6*(1-Inputs!$B$7)-(P18-O18)/Inputs!$B$8</f>
        <v>-77.0399780814544</v>
      </c>
      <c r="AA18" s="15" t="n">
        <f aca="false">Q18*Inputs!$B$6*(1-Inputs!$B$7)-(Q18-P18)/Inputs!$B$8</f>
        <v>-35.7202177027635</v>
      </c>
      <c r="AB18" s="15" t="n">
        <f aca="false">R18*Inputs!$B$6*(1-Inputs!$B$7)-(R18-Q18)/Inputs!$B$8</f>
        <v>22.3867495401772</v>
      </c>
      <c r="AC18" s="15" t="n">
        <f aca="false">S18*Inputs!$B$6*(1-Inputs!$B$7)-(S18-R18)/Inputs!$B$8</f>
        <v>96.1539593711568</v>
      </c>
      <c r="AD18" s="15" t="n">
        <f aca="false">T18*Inputs!$B$6*(1-Inputs!$B$7)-(T18-S18)/Inputs!$B$8</f>
        <v>182.285887590474</v>
      </c>
      <c r="AE18" s="15" t="n">
        <f aca="false">U18*Inputs!$B$6*(1-Inputs!$B$7)-(U18-T18)/Inputs!$B$8</f>
        <v>275.349797034369</v>
      </c>
      <c r="AF18" s="33" t="n">
        <f aca="false">(SUMPRODUCT(V18:AE18/(1+Inputs!$B$24)^$B$7:$K$7)+U18*Inputs!$B$6*(1-Inputs!$B$7)*(1+Inputs!$B$17)*(1-Inputs!$B$17/Inputs!$B$18)/(Inputs!$B$24-Inputs!$B$17)/(1+Inputs!$B$24)^$K$7+Inputs!$B$9-Inputs!$B$10)/Inputs!$B$11</f>
        <v>22.6672384941242</v>
      </c>
    </row>
    <row r="19" customFormat="false" ht="15" hidden="false" customHeight="false" outlineLevel="0" collapsed="false">
      <c r="A19" s="6" t="n">
        <v>0.2</v>
      </c>
      <c r="B19" s="20" t="n">
        <f aca="false">$A19</f>
        <v>0.2</v>
      </c>
      <c r="C19" s="20" t="n">
        <f aca="false">$A19</f>
        <v>0.2</v>
      </c>
      <c r="D19" s="20" t="n">
        <f aca="false">$A19</f>
        <v>0.2</v>
      </c>
      <c r="E19" s="20" t="n">
        <f aca="false">$A19</f>
        <v>0.2</v>
      </c>
      <c r="F19" s="20" t="n">
        <f aca="false">$A19</f>
        <v>0.2</v>
      </c>
      <c r="G19" s="20" t="n">
        <f aca="false">$A19+(Inputs!$B$17-$A19)*(G$7-5)/5</f>
        <v>0.166</v>
      </c>
      <c r="H19" s="20" t="n">
        <f aca="false">$A19+(Inputs!$B$17-$A19)*(H$7-5)/5</f>
        <v>0.132</v>
      </c>
      <c r="I19" s="20" t="n">
        <f aca="false">$A19+(Inputs!$B$17-$A19)*(I$7-5)/5</f>
        <v>0.098</v>
      </c>
      <c r="J19" s="20" t="n">
        <f aca="false">$A19+(Inputs!$B$17-$A19)*(J$7-5)/5</f>
        <v>0.064</v>
      </c>
      <c r="K19" s="20" t="n">
        <f aca="false">$A19+(Inputs!$B$17-$A19)*(K$7-5)/5</f>
        <v>0.03</v>
      </c>
      <c r="L19" s="15" t="n">
        <f aca="false">Inputs!$B$5*(1+B19)</f>
        <v>1200</v>
      </c>
      <c r="M19" s="15" t="n">
        <f aca="false">L19*(1+C19)</f>
        <v>1440</v>
      </c>
      <c r="N19" s="15" t="n">
        <f aca="false">M19*(1+D19)</f>
        <v>1728</v>
      </c>
      <c r="O19" s="15" t="n">
        <f aca="false">N19*(1+E19)</f>
        <v>2073.6</v>
      </c>
      <c r="P19" s="15" t="n">
        <f aca="false">O19*(1+F19)</f>
        <v>2488.32</v>
      </c>
      <c r="Q19" s="15" t="n">
        <f aca="false">P19*(1+G19)</f>
        <v>2901.38112</v>
      </c>
      <c r="R19" s="15" t="n">
        <f aca="false">Q19*(1+H19)</f>
        <v>3284.36342784</v>
      </c>
      <c r="S19" s="15" t="n">
        <f aca="false">R19*(1+I19)</f>
        <v>3606.23104376832</v>
      </c>
      <c r="T19" s="15" t="n">
        <f aca="false">S19*(1+J19)</f>
        <v>3837.02983056949</v>
      </c>
      <c r="U19" s="15" t="n">
        <f aca="false">T19*(1+K19)</f>
        <v>3952.14072548658</v>
      </c>
      <c r="V19" s="15" t="n">
        <f aca="false">L19*Inputs!$B$6*(1-Inputs!$B$7)-(L19-Inputs!$B$5)/Inputs!$B$8</f>
        <v>-55.8181818181818</v>
      </c>
      <c r="W19" s="15" t="n">
        <f aca="false">M19*Inputs!$B$6*(1-Inputs!$B$7)-(M19-L19)/Inputs!$B$8</f>
        <v>-66.9818181818182</v>
      </c>
      <c r="X19" s="15" t="n">
        <f aca="false">N19*Inputs!$B$6*(1-Inputs!$B$7)-(N19-M19)/Inputs!$B$8</f>
        <v>-80.3781818181818</v>
      </c>
      <c r="Y19" s="15" t="n">
        <f aca="false">O19*Inputs!$B$6*(1-Inputs!$B$7)-(O19-N19)/Inputs!$B$8</f>
        <v>-96.4538181818181</v>
      </c>
      <c r="Z19" s="15" t="n">
        <f aca="false">P19*Inputs!$B$6*(1-Inputs!$B$7)-(P19-O19)/Inputs!$B$8</f>
        <v>-115.744581818182</v>
      </c>
      <c r="AA19" s="15" t="n">
        <f aca="false">Q19*Inputs!$B$6*(1-Inputs!$B$7)-(Q19-P19)/Inputs!$B$8</f>
        <v>-70.865091490909</v>
      </c>
      <c r="AB19" s="15" t="n">
        <f aca="false">R19*Inputs!$B$6*(1-Inputs!$B$7)-(R19-Q19)/Inputs!$B$8</f>
        <v>-3.30757447680043</v>
      </c>
      <c r="AC19" s="15" t="n">
        <f aca="false">S19*Inputs!$B$6*(1-Inputs!$B$7)-(S19-R19)/Inputs!$B$8</f>
        <v>86.0473360244732</v>
      </c>
      <c r="AD19" s="15" t="n">
        <f aca="false">T19*Inputs!$B$6*(1-Inputs!$B$7)-(T19-S19)/Inputs!$B$8</f>
        <v>193.07105329964</v>
      </c>
      <c r="AE19" s="15" t="n">
        <f aca="false">U19*Inputs!$B$6*(1-Inputs!$B$7)-(U19-T19)/Inputs!$B$8</f>
        <v>310.32850806965</v>
      </c>
      <c r="AF19" s="33" t="n">
        <f aca="false">(SUMPRODUCT(V19:AE19/(1+Inputs!$B$24)^$B$7:$K$7)+U19*Inputs!$B$6*(1-Inputs!$B$7)*(1+Inputs!$B$17)*(1-Inputs!$B$17/Inputs!$B$18)/(Inputs!$B$24-Inputs!$B$17)/(1+Inputs!$B$24)^$K$7+Inputs!$B$9-Inputs!$B$10)/Inputs!$B$11</f>
        <v>24.6493784391864</v>
      </c>
    </row>
    <row r="21" customFormat="false" ht="15" hidden="false" customHeight="false" outlineLevel="0" collapsed="false">
      <c r="A21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  <col collapsed="false" customWidth="true" hidden="false" outlineLevel="0" max="3" min="3" style="0" width="36"/>
  </cols>
  <sheetData>
    <row r="1" customFormat="false" ht="17.35" hidden="false" customHeight="false" outlineLevel="0" collapsed="false">
      <c r="A1" s="1" t="s">
        <v>128</v>
      </c>
    </row>
    <row r="3" customFormat="false" ht="15" hidden="false" customHeight="false" outlineLevel="0" collapsed="false">
      <c r="A3" s="3" t="s">
        <v>129</v>
      </c>
      <c r="B3" s="3" t="s">
        <v>4</v>
      </c>
      <c r="C3" s="3" t="s">
        <v>130</v>
      </c>
    </row>
    <row r="4" customFormat="false" ht="15" hidden="false" customHeight="false" outlineLevel="0" collapsed="false">
      <c r="A4" s="4" t="s">
        <v>131</v>
      </c>
      <c r="B4" s="19" t="n">
        <f aca="false">Inputs!B17</f>
        <v>0.03</v>
      </c>
      <c r="C4" s="11" t="str">
        <f aca="false">IF(DCF!B12&gt;Inputs!B17,"PASS","FAIL")</f>
        <v>PASS</v>
      </c>
    </row>
    <row r="5" customFormat="false" ht="15" hidden="false" customHeight="false" outlineLevel="0" collapsed="false">
      <c r="A5" s="4" t="s">
        <v>132</v>
      </c>
      <c r="B5" s="19" t="n">
        <f aca="false">Inputs!B17</f>
        <v>0.03</v>
      </c>
      <c r="C5" s="11" t="str">
        <f aca="false">IF(Inputs!B17&lt;=Inputs!B12,"PASS","FAIL")</f>
        <v>PASS</v>
      </c>
    </row>
    <row r="6" customFormat="false" ht="15" hidden="false" customHeight="false" outlineLevel="0" collapsed="false">
      <c r="A6" s="4" t="s">
        <v>133</v>
      </c>
      <c r="B6" s="19" t="n">
        <f aca="false">Inputs!B18</f>
        <v>0.1</v>
      </c>
      <c r="C6" s="11" t="str">
        <f aca="false">IF(Inputs!B18&gt;=DCF!B12,"PASS","FAIL")</f>
        <v>PASS</v>
      </c>
    </row>
    <row r="7" customFormat="false" ht="15" hidden="false" customHeight="false" outlineLevel="0" collapsed="false">
      <c r="A7" s="4" t="s">
        <v>134</v>
      </c>
      <c r="B7" s="34" t="n">
        <f aca="false">DCF!B24+DCF!B25+DCF!B26-DCF!B27</f>
        <v>0</v>
      </c>
      <c r="C7" s="11" t="str">
        <f aca="false">IF(ABS(B7)&lt;0.000001,"PASS","FAIL")</f>
        <v>PASS</v>
      </c>
    </row>
    <row r="8" customFormat="false" ht="15" hidden="false" customHeight="false" outlineLevel="0" collapsed="false">
      <c r="A8" s="4" t="s">
        <v>135</v>
      </c>
      <c r="B8" s="34" t="n">
        <f aca="false">Sensitivity!D8-DCF!B32</f>
        <v>0</v>
      </c>
      <c r="C8" s="11" t="str">
        <f aca="false">IF(ABS(B8)&lt;0.000001,"PASS","FAIL")</f>
        <v>PASS</v>
      </c>
    </row>
    <row r="9" customFormat="false" ht="15" hidden="false" customHeight="false" outlineLevel="0" collapsed="false">
      <c r="A9" s="4" t="s">
        <v>136</v>
      </c>
      <c r="B9" s="34" t="n">
        <f aca="false">ReverseDCF!AF13-DCF!B32</f>
        <v>0</v>
      </c>
      <c r="C9" s="11" t="str">
        <f aca="false">IF(ABS(B9)&lt;0.000001,"PASS","FAIL")</f>
        <v>PASS</v>
      </c>
    </row>
    <row r="10" customFormat="false" ht="15" hidden="false" customHeight="false" outlineLevel="0" collapsed="false">
      <c r="A10" s="4" t="s">
        <v>137</v>
      </c>
      <c r="B10" s="34" t="n">
        <f aca="false">DCF!L4-Inputs!B17</f>
        <v>0</v>
      </c>
      <c r="C10" s="11" t="str">
        <f aca="false">IF(ABS(B10)&lt;0.000001,"PASS","FAIL")</f>
        <v>PASS</v>
      </c>
    </row>
    <row r="11" customFormat="false" ht="15" hidden="false" customHeight="false" outlineLevel="0" collapsed="false">
      <c r="A11" s="4" t="s">
        <v>138</v>
      </c>
      <c r="B11" s="30" t="n">
        <f aca="false">DCF!B32</f>
        <v>15.2806175948695</v>
      </c>
      <c r="C11" s="11" t="str">
        <f aca="false">IF(ABS(B11-15.28)&lt;0.005,"PASS","INFO: inputs changed from chapter")</f>
        <v>PASS</v>
      </c>
    </row>
    <row r="13" customFormat="false" ht="15" hidden="false" customHeight="false" outlineLevel="0" collapsed="false">
      <c r="A13" s="11" t="s">
        <v>139</v>
      </c>
      <c r="C13" s="35" t="str">
        <f aca="false">IF(COUNTIF(C4:C10,"FAIL")=0,"ALL CHECKS PASS","CHECK FAILED")</f>
        <v>ALL CHECKS PASS</v>
      </c>
    </row>
    <row r="14" customFormat="false" ht="15" hidden="false" customHeight="false" outlineLevel="0" collapsed="false">
      <c r="A14" s="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2026-10-30T02:19:26Z</dcterms:created>
  <dc:creator>openpyxl</dc:creator>
  <dc:description/>
  <dc:language>en-US</dc:language>
  <cp:lastModifiedBy/>
  <dcterms:modified xsi:type="dcterms:W3CDTF">2026-10-30T02:19:26Z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